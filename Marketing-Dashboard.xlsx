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xr:revisionPtr revIDLastSave="0" documentId="8_{D1419E59-0013-4038-97AA-111DD400BA82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Table" sheetId="1" r:id="rId1"/>
    <sheet name="Views by Film" sheetId="2" r:id="rId2"/>
    <sheet name="Engagement by Platform" sheetId="3" r:id="rId3"/>
    <sheet name="Subscriptions by Campaign" sheetId="4" r:id="rId4"/>
    <sheet name="Engagement Rate by Age Group" sheetId="5" r:id="rId5"/>
    <sheet name="Views by Region" sheetId="6" r:id="rId6"/>
    <sheet name="Dashboard" sheetId="7" r:id="rId7"/>
  </sheets>
  <calcPr calcId="191028"/>
  <pivotCaches>
    <pivotCache cacheId="5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H6" i="7"/>
  <c r="R6" i="7"/>
  <c r="M6" i="7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Q2" i="1"/>
</calcChain>
</file>

<file path=xl/sharedStrings.xml><?xml version="1.0" encoding="utf-8"?>
<sst xmlns="http://schemas.openxmlformats.org/spreadsheetml/2006/main" count="373" uniqueCount="62">
  <si>
    <t>Date</t>
  </si>
  <si>
    <t>Film_Title</t>
  </si>
  <si>
    <t>Platform</t>
  </si>
  <si>
    <t>Campaign</t>
  </si>
  <si>
    <t>Audience_Age_Group</t>
  </si>
  <si>
    <t>Region</t>
  </si>
  <si>
    <t>Impressions</t>
  </si>
  <si>
    <t>Clicks</t>
  </si>
  <si>
    <t>Views</t>
  </si>
  <si>
    <t>Watch_Time_Minutes</t>
  </si>
  <si>
    <t>Likes</t>
  </si>
  <si>
    <t>Shares</t>
  </si>
  <si>
    <t>Comments</t>
  </si>
  <si>
    <t>Email_Signups</t>
  </si>
  <si>
    <t>Subscriptions</t>
  </si>
  <si>
    <t>Ad_Spend</t>
  </si>
  <si>
    <t>CTR</t>
  </si>
  <si>
    <t>Engagement</t>
  </si>
  <si>
    <t>Engagement_Rate</t>
  </si>
  <si>
    <t>Conversion_Rate</t>
  </si>
  <si>
    <t>Midnight Echo</t>
  </si>
  <si>
    <t>Instagram</t>
  </si>
  <si>
    <t>Trailer Launch</t>
  </si>
  <si>
    <t>18-24</t>
  </si>
  <si>
    <t>Northeast</t>
  </si>
  <si>
    <t>Glass City</t>
  </si>
  <si>
    <t>TikTok</t>
  </si>
  <si>
    <t>Influencer Push</t>
  </si>
  <si>
    <t>25-34</t>
  </si>
  <si>
    <t>South</t>
  </si>
  <si>
    <t>Blue Horizon</t>
  </si>
  <si>
    <t>YouTube</t>
  </si>
  <si>
    <t>Festival Promo</t>
  </si>
  <si>
    <t>35-44</t>
  </si>
  <si>
    <t>Midwest</t>
  </si>
  <si>
    <t>Silent Frame</t>
  </si>
  <si>
    <t>Website</t>
  </si>
  <si>
    <t>Email Blast</t>
  </si>
  <si>
    <t>45+</t>
  </si>
  <si>
    <t>West</t>
  </si>
  <si>
    <t>Neon Dust</t>
  </si>
  <si>
    <t>Email</t>
  </si>
  <si>
    <t>Release Week Ads</t>
  </si>
  <si>
    <t>Sum of Views</t>
  </si>
  <si>
    <t>Grand Total</t>
  </si>
  <si>
    <t xml:space="preserve"> Likes</t>
  </si>
  <si>
    <t xml:space="preserve"> Shares</t>
  </si>
  <si>
    <t xml:space="preserve"> Comments</t>
  </si>
  <si>
    <t>Sum of Subscriptions</t>
  </si>
  <si>
    <t>Average of Engagement_Rate</t>
  </si>
  <si>
    <t>Marketing Campaign Performance Dashboard</t>
  </si>
  <si>
    <t>Analysis of Campaign Performance by Platform, Region, and Audience</t>
  </si>
  <si>
    <t>Total Views</t>
  </si>
  <si>
    <t>Total Subscriptions</t>
  </si>
  <si>
    <t>Avg Engagement Rate</t>
  </si>
  <si>
    <t>Total Ad Spend</t>
  </si>
  <si>
    <t xml:space="preserve"> </t>
  </si>
  <si>
    <t>Key Insights:</t>
  </si>
  <si>
    <t>• Engagement rates range from ~3.7% to ~5.3%, indicating typical campaign performance</t>
  </si>
  <si>
    <t>• Age group 25–34 is the most engaged and responsive audience</t>
  </si>
  <si>
    <t>• Influencer campaigns drive the highest subscription growth</t>
  </si>
  <si>
    <t>• TikTok generates the strongest engagement across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</si>
</sst>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??_);_(@_)"/>
    <numFmt numFmtId="168" formatCode="&quot;$&quot;#,##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8"/>
      <color rgb="FF000000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3" borderId="1" xfId="0" applyFill="1" applyBorder="1"/>
    <xf numFmtId="10" fontId="0" fillId="3" borderId="1" xfId="0" applyNumberFormat="1" applyFill="1" applyBorder="1"/>
    <xf numFmtId="0" fontId="0" fillId="0" borderId="1" xfId="0" applyBorder="1"/>
    <xf numFmtId="0" fontId="0" fillId="0" borderId="2" xfId="0" applyBorder="1"/>
    <xf numFmtId="14" fontId="0" fillId="3" borderId="1" xfId="0" applyNumberFormat="1" applyFill="1" applyBorder="1"/>
    <xf numFmtId="14" fontId="0" fillId="0" borderId="1" xfId="0" applyNumberFormat="1" applyBorder="1"/>
    <xf numFmtId="14" fontId="0" fillId="0" borderId="2" xfId="0" applyNumberFormat="1" applyBorder="1"/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10" fontId="1" fillId="2" borderId="0" xfId="0" applyNumberFormat="1" applyFont="1" applyFill="1" applyBorder="1"/>
    <xf numFmtId="0" fontId="0" fillId="4" borderId="4" xfId="0" applyFill="1" applyBorder="1"/>
    <xf numFmtId="0" fontId="0" fillId="5" borderId="0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2" fillId="4" borderId="9" xfId="0" applyFont="1" applyFill="1" applyBorder="1" applyAlignment="1">
      <alignment horizontal="center"/>
    </xf>
    <xf numFmtId="0" fontId="0" fillId="4" borderId="10" xfId="0" applyFill="1" applyBorder="1"/>
    <xf numFmtId="10" fontId="2" fillId="4" borderId="9" xfId="0" applyNumberFormat="1" applyFont="1" applyFill="1" applyBorder="1" applyAlignment="1">
      <alignment horizontal="center"/>
    </xf>
    <xf numFmtId="168" fontId="2" fillId="4" borderId="6" xfId="0" applyNumberFormat="1" applyFont="1" applyFill="1" applyBorder="1" applyAlignment="1">
      <alignment horizontal="center"/>
    </xf>
    <xf numFmtId="165" fontId="2" fillId="4" borderId="6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5"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[Marketing-Dashboard.xlsx]Views by Film!PivotTable1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Film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Film'!$B$2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Film'!$A$3:$A$8</c:f>
              <c:strCache>
                <c:ptCount val="5"/>
                <c:pt idx="0">
                  <c:v>Blue Horizon</c:v>
                </c:pt>
                <c:pt idx="1">
                  <c:v>Glass City</c:v>
                </c:pt>
                <c:pt idx="2">
                  <c:v>Midnight Echo</c:v>
                </c:pt>
                <c:pt idx="3">
                  <c:v>Neon Dust</c:v>
                </c:pt>
                <c:pt idx="4">
                  <c:v>Silent Frame</c:v>
                </c:pt>
              </c:strCache>
            </c:strRef>
          </c:cat>
          <c:val>
            <c:numRef>
              <c:f>'Views by Film'!$B$3:$B$8</c:f>
              <c:numCache>
                <c:formatCode>General</c:formatCode>
                <c:ptCount val="5"/>
                <c:pt idx="0">
                  <c:v>7346</c:v>
                </c:pt>
                <c:pt idx="1">
                  <c:v>5846</c:v>
                </c:pt>
                <c:pt idx="2">
                  <c:v>6835</c:v>
                </c:pt>
                <c:pt idx="3">
                  <c:v>6185</c:v>
                </c:pt>
                <c:pt idx="4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5-4A7E-B371-46FB0F0B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824903"/>
        <c:axId val="1454428679"/>
      </c:barChart>
      <c:catAx>
        <c:axId val="1679824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8679"/>
        <c:crosses val="autoZero"/>
        <c:auto val="1"/>
        <c:lblAlgn val="ctr"/>
        <c:lblOffset val="100"/>
        <c:noMultiLvlLbl val="0"/>
      </c:catAx>
      <c:valAx>
        <c:axId val="145442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2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[Marketing-Dashboard.xlsx]Engagement by Platform!PivotTable2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by Platform'!$B$2</c:f>
              <c:strCache>
                <c:ptCount val="1"/>
                <c:pt idx="0">
                  <c:v>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Platform'!$B$3:$B$8</c:f>
              <c:numCache>
                <c:formatCode>General</c:formatCode>
                <c:ptCount val="5"/>
                <c:pt idx="0">
                  <c:v>3911</c:v>
                </c:pt>
                <c:pt idx="1">
                  <c:v>3345</c:v>
                </c:pt>
                <c:pt idx="2">
                  <c:v>5292</c:v>
                </c:pt>
                <c:pt idx="3">
                  <c:v>3957</c:v>
                </c:pt>
                <c:pt idx="4">
                  <c:v>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4-4773-856E-D5C85D960849}"/>
            </c:ext>
          </c:extLst>
        </c:ser>
        <c:ser>
          <c:idx val="1"/>
          <c:order val="1"/>
          <c:tx>
            <c:strRef>
              <c:f>'Engagement by Platform'!$C$2</c:f>
              <c:strCache>
                <c:ptCount val="1"/>
                <c:pt idx="0">
                  <c:v>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Platform'!$C$3:$C$8</c:f>
              <c:numCache>
                <c:formatCode>General</c:formatCode>
                <c:ptCount val="5"/>
                <c:pt idx="0">
                  <c:v>1436</c:v>
                </c:pt>
                <c:pt idx="1">
                  <c:v>1222</c:v>
                </c:pt>
                <c:pt idx="2">
                  <c:v>1371</c:v>
                </c:pt>
                <c:pt idx="3">
                  <c:v>1053</c:v>
                </c:pt>
                <c:pt idx="4">
                  <c:v>1379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34-4773-856E-D5C85D960849}"/>
            </c:ext>
          </c:extLst>
        </c:ser>
        <c:ser>
          <c:idx val="2"/>
          <c:order val="2"/>
          <c:tx>
            <c:strRef>
              <c:f>'Engagement by Platform'!$D$2</c:f>
              <c:strCache>
                <c:ptCount val="1"/>
                <c:pt idx="0">
                  <c:v>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Platform'!$D$3:$D$8</c:f>
              <c:numCache>
                <c:formatCode>General</c:formatCode>
                <c:ptCount val="5"/>
                <c:pt idx="0">
                  <c:v>789</c:v>
                </c:pt>
                <c:pt idx="1">
                  <c:v>459</c:v>
                </c:pt>
                <c:pt idx="2">
                  <c:v>395</c:v>
                </c:pt>
                <c:pt idx="3">
                  <c:v>591</c:v>
                </c:pt>
                <c:pt idx="4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34-4773-856E-D5C85D960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749063"/>
        <c:axId val="1696751111"/>
      </c:barChart>
      <c:catAx>
        <c:axId val="169674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51111"/>
        <c:crosses val="autoZero"/>
        <c:auto val="1"/>
        <c:lblAlgn val="ctr"/>
        <c:lblOffset val="100"/>
        <c:noMultiLvlLbl val="0"/>
      </c:catAx>
      <c:valAx>
        <c:axId val="169675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4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[Marketing-Dashboard.xlsx]Subscriptions by Campaign!PivotTable3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'Subscriptions by Campaign'!$B$2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'Subscriptions by Campaign'!$A$3:$A$8</c:f>
              <c:strCache>
                <c:ptCount val="5"/>
                <c:pt idx="0">
                  <c:v>Email Blast</c:v>
                </c:pt>
                <c:pt idx="1">
                  <c:v>Festival Promo</c:v>
                </c:pt>
                <c:pt idx="2">
                  <c:v>Influencer Push</c:v>
                </c:pt>
                <c:pt idx="3">
                  <c:v>Release Week Ads</c:v>
                </c:pt>
                <c:pt idx="4">
                  <c:v>Trailer Launch</c:v>
                </c:pt>
              </c:strCache>
            </c:strRef>
          </c:cat>
          <c:val>
            <c:numRef>
              <c:f>'Subscriptions by Campaign'!$B$3:$B$8</c:f>
              <c:numCache>
                <c:formatCode>General</c:formatCode>
                <c:ptCount val="5"/>
                <c:pt idx="0">
                  <c:v>206</c:v>
                </c:pt>
                <c:pt idx="1">
                  <c:v>258</c:v>
                </c:pt>
                <c:pt idx="2">
                  <c:v>330</c:v>
                </c:pt>
                <c:pt idx="3">
                  <c:v>285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1-420D-8756-11078DE4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727431"/>
        <c:axId val="1453904903"/>
      </c:barChart>
      <c:catAx>
        <c:axId val="192272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04903"/>
        <c:crosses val="autoZero"/>
        <c:auto val="1"/>
        <c:lblAlgn val="ctr"/>
        <c:lblOffset val="100"/>
        <c:noMultiLvlLbl val="0"/>
      </c:catAx>
      <c:valAx>
        <c:axId val="145390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27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[Marketing-Dashboard.xlsx]Engagement Rate by Age Group!PivotTable4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Rate by Age Group'!$B$2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Rate by Age Group'!$A$3:$A$7</c:f>
              <c:strCache>
                <c:ptCount val="4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'Engagement Rate by Age Group'!$B$3:$B$7</c:f>
              <c:numCache>
                <c:formatCode>0.00%</c:formatCode>
                <c:ptCount val="4"/>
                <c:pt idx="0">
                  <c:v>4.0295597467654605E-2</c:v>
                </c:pt>
                <c:pt idx="1">
                  <c:v>5.3577302208487193E-2</c:v>
                </c:pt>
                <c:pt idx="2">
                  <c:v>4.1296987247265847E-2</c:v>
                </c:pt>
                <c:pt idx="3">
                  <c:v>3.7839144236221652E-2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8-4041-B767-F46946E0C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969415"/>
        <c:axId val="2109971463"/>
      </c:barChart>
      <c:catAx>
        <c:axId val="210996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71463"/>
        <c:crosses val="autoZero"/>
        <c:auto val="1"/>
        <c:lblAlgn val="ctr"/>
        <c:lblOffset val="100"/>
        <c:noMultiLvlLbl val="0"/>
      </c:catAx>
      <c:valAx>
        <c:axId val="210997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69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[Marketing-Dashboard.xlsx]Views by Region!PivotTable5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Region'!$A$3:$A$7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'Views by Region'!$B$3:$B$7</c:f>
              <c:numCache>
                <c:formatCode>General</c:formatCode>
                <c:ptCount val="4"/>
                <c:pt idx="0">
                  <c:v>7346</c:v>
                </c:pt>
                <c:pt idx="1">
                  <c:v>6835</c:v>
                </c:pt>
                <c:pt idx="2">
                  <c:v>12031</c:v>
                </c:pt>
                <c:pt idx="3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E-4416-9D24-6AE0BF1F0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814343"/>
        <c:axId val="1396816391"/>
      </c:barChart>
      <c:catAx>
        <c:axId val="1396814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16391"/>
        <c:crosses val="autoZero"/>
        <c:auto val="1"/>
        <c:lblAlgn val="ctr"/>
        <c:lblOffset val="100"/>
        <c:noMultiLvlLbl val="0"/>
      </c:catAx>
      <c:valAx>
        <c:axId val="1396816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1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[Marketing-Dashboard.xlsx]Views by Region!PivotTable5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Region'!$A$3:$A$7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'Views by Region'!$B$3:$B$7</c:f>
              <c:numCache>
                <c:formatCode>General</c:formatCode>
                <c:ptCount val="4"/>
                <c:pt idx="0">
                  <c:v>7346</c:v>
                </c:pt>
                <c:pt idx="1">
                  <c:v>6835</c:v>
                </c:pt>
                <c:pt idx="2">
                  <c:v>12031</c:v>
                </c:pt>
                <c:pt idx="3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E-48B2-8814-EB22DDA81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384583"/>
        <c:axId val="1679386631"/>
      </c:barChart>
      <c:catAx>
        <c:axId val="167938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86631"/>
        <c:crosses val="autoZero"/>
        <c:auto val="1"/>
        <c:lblAlgn val="ctr"/>
        <c:lblOffset val="100"/>
        <c:noMultiLvlLbl val="0"/>
      </c:catAx>
      <c:valAx>
        <c:axId val="1679386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84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[Marketing-Dashboard.xlsx]Engagement Rate by Age Group!PivotTable4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Rate by Age Group'!$B$2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Rate by Age Group'!$A$3:$A$7</c:f>
              <c:strCache>
                <c:ptCount val="4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'Engagement Rate by Age Group'!$B$3:$B$7</c:f>
              <c:numCache>
                <c:formatCode>0.00%</c:formatCode>
                <c:ptCount val="4"/>
                <c:pt idx="0">
                  <c:v>4.0295597467654605E-2</c:v>
                </c:pt>
                <c:pt idx="1">
                  <c:v>5.3577302208487193E-2</c:v>
                </c:pt>
                <c:pt idx="2">
                  <c:v>4.1296987247265847E-2</c:v>
                </c:pt>
                <c:pt idx="3">
                  <c:v>3.7839144236221652E-2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9-495B-A559-C4257E70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969415"/>
        <c:axId val="2109971463"/>
      </c:barChart>
      <c:catAx>
        <c:axId val="210996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71463"/>
        <c:crosses val="autoZero"/>
        <c:auto val="1"/>
        <c:lblAlgn val="ctr"/>
        <c:lblOffset val="100"/>
        <c:noMultiLvlLbl val="0"/>
      </c:catAx>
      <c:valAx>
        <c:axId val="210997146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69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[Marketing-Dashboard.xlsx]Subscriptions by Campaign!PivotTable3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'Subscriptions by Campaign'!$B$2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'Subscriptions by Campaign'!$A$3:$A$8</c:f>
              <c:strCache>
                <c:ptCount val="5"/>
                <c:pt idx="0">
                  <c:v>Email Blast</c:v>
                </c:pt>
                <c:pt idx="1">
                  <c:v>Festival Promo</c:v>
                </c:pt>
                <c:pt idx="2">
                  <c:v>Influencer Push</c:v>
                </c:pt>
                <c:pt idx="3">
                  <c:v>Release Week Ads</c:v>
                </c:pt>
                <c:pt idx="4">
                  <c:v>Trailer Launch</c:v>
                </c:pt>
              </c:strCache>
            </c:strRef>
          </c:cat>
          <c:val>
            <c:numRef>
              <c:f>'Subscriptions by Campaign'!$B$3:$B$8</c:f>
              <c:numCache>
                <c:formatCode>General</c:formatCode>
                <c:ptCount val="5"/>
                <c:pt idx="0">
                  <c:v>206</c:v>
                </c:pt>
                <c:pt idx="1">
                  <c:v>258</c:v>
                </c:pt>
                <c:pt idx="2">
                  <c:v>330</c:v>
                </c:pt>
                <c:pt idx="3">
                  <c:v>285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4-4668-BE2D-F99148C0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2727431"/>
        <c:axId val="1453904903"/>
      </c:barChart>
      <c:catAx>
        <c:axId val="192272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04903"/>
        <c:crosses val="autoZero"/>
        <c:auto val="1"/>
        <c:lblAlgn val="ctr"/>
        <c:lblOffset val="100"/>
        <c:noMultiLvlLbl val="0"/>
      </c:catAx>
      <c:valAx>
        <c:axId val="1453904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27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[Marketing-Dashboard.xlsx]Engagement by Platform!PivotTable2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by Platform'!$B$2</c:f>
              <c:strCache>
                <c:ptCount val="1"/>
                <c:pt idx="0">
                  <c:v>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Platform'!$B$3:$B$8</c:f>
              <c:numCache>
                <c:formatCode>General</c:formatCode>
                <c:ptCount val="5"/>
                <c:pt idx="0">
                  <c:v>3911</c:v>
                </c:pt>
                <c:pt idx="1">
                  <c:v>3345</c:v>
                </c:pt>
                <c:pt idx="2">
                  <c:v>5292</c:v>
                </c:pt>
                <c:pt idx="3">
                  <c:v>3957</c:v>
                </c:pt>
                <c:pt idx="4">
                  <c:v>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E-4A42-A1A5-C3F225D66481}"/>
            </c:ext>
          </c:extLst>
        </c:ser>
        <c:ser>
          <c:idx val="1"/>
          <c:order val="1"/>
          <c:tx>
            <c:strRef>
              <c:f>'Engagement by Platform'!$C$2</c:f>
              <c:strCache>
                <c:ptCount val="1"/>
                <c:pt idx="0">
                  <c:v>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Platform'!$C$3:$C$8</c:f>
              <c:numCache>
                <c:formatCode>General</c:formatCode>
                <c:ptCount val="5"/>
                <c:pt idx="0">
                  <c:v>1436</c:v>
                </c:pt>
                <c:pt idx="1">
                  <c:v>1222</c:v>
                </c:pt>
                <c:pt idx="2">
                  <c:v>1371</c:v>
                </c:pt>
                <c:pt idx="3">
                  <c:v>1053</c:v>
                </c:pt>
                <c:pt idx="4">
                  <c:v>1379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E-4A42-A1A5-C3F225D66481}"/>
            </c:ext>
          </c:extLst>
        </c:ser>
        <c:ser>
          <c:idx val="2"/>
          <c:order val="2"/>
          <c:tx>
            <c:strRef>
              <c:f>'Engagement by Platform'!$D$2</c:f>
              <c:strCache>
                <c:ptCount val="1"/>
                <c:pt idx="0">
                  <c:v>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'Engagement by Platform'!$A$3:$A$8</c:f>
              <c:strCache>
                <c:ptCount val="5"/>
                <c:pt idx="0">
                  <c:v>Email</c:v>
                </c:pt>
                <c:pt idx="1">
                  <c:v>Instagram</c:v>
                </c:pt>
                <c:pt idx="2">
                  <c:v>TikTok</c:v>
                </c:pt>
                <c:pt idx="3">
                  <c:v>Website</c:v>
                </c:pt>
                <c:pt idx="4">
                  <c:v>YouTube</c:v>
                </c:pt>
              </c:strCache>
            </c:strRef>
          </c:cat>
          <c:val>
            <c:numRef>
              <c:f>'Engagement by Platform'!$D$3:$D$8</c:f>
              <c:numCache>
                <c:formatCode>General</c:formatCode>
                <c:ptCount val="5"/>
                <c:pt idx="0">
                  <c:v>789</c:v>
                </c:pt>
                <c:pt idx="1">
                  <c:v>459</c:v>
                </c:pt>
                <c:pt idx="2">
                  <c:v>395</c:v>
                </c:pt>
                <c:pt idx="3">
                  <c:v>591</c:v>
                </c:pt>
                <c:pt idx="4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E-4A42-A1A5-C3F225D6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749063"/>
        <c:axId val="1696751111"/>
      </c:barChart>
      <c:catAx>
        <c:axId val="169674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51111"/>
        <c:crosses val="autoZero"/>
        <c:auto val="1"/>
        <c:lblAlgn val="ctr"/>
        <c:lblOffset val="100"/>
        <c:noMultiLvlLbl val="0"/>
      </c:catAx>
      <c:valAx>
        <c:axId val="169675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4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[Marketing-Dashboard.xlsx]Views by Film!PivotTable1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Film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'Views by Film'!$B$2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by Film'!$A$3:$A$8</c:f>
              <c:strCache>
                <c:ptCount val="5"/>
                <c:pt idx="0">
                  <c:v>Blue Horizon</c:v>
                </c:pt>
                <c:pt idx="1">
                  <c:v>Glass City</c:v>
                </c:pt>
                <c:pt idx="2">
                  <c:v>Midnight Echo</c:v>
                </c:pt>
                <c:pt idx="3">
                  <c:v>Neon Dust</c:v>
                </c:pt>
                <c:pt idx="4">
                  <c:v>Silent Frame</c:v>
                </c:pt>
              </c:strCache>
            </c:strRef>
          </c:cat>
          <c:val>
            <c:numRef>
              <c:f>'Views by Film'!$B$3:$B$8</c:f>
              <c:numCache>
                <c:formatCode>General</c:formatCode>
                <c:ptCount val="5"/>
                <c:pt idx="0">
                  <c:v>7346</c:v>
                </c:pt>
                <c:pt idx="1">
                  <c:v>5846</c:v>
                </c:pt>
                <c:pt idx="2">
                  <c:v>6835</c:v>
                </c:pt>
                <c:pt idx="3">
                  <c:v>6185</c:v>
                </c:pt>
                <c:pt idx="4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8-4B43-BD03-CE397A14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824903"/>
        <c:axId val="1454428679"/>
      </c:barChart>
      <c:catAx>
        <c:axId val="1679824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28679"/>
        <c:crosses val="autoZero"/>
        <c:auto val="1"/>
        <c:lblAlgn val="ctr"/>
        <c:lblOffset val="100"/>
        <c:noMultiLvlLbl val="0"/>
      </c:catAx>
      <c:valAx>
        <c:axId val="145442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24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2</xdr:row>
      <xdr:rowOff>0</xdr:rowOff>
    </xdr:from>
    <xdr:to>
      <xdr:col>12</xdr:col>
      <xdr:colOff>409575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B948C2-1290-D4E3-04EA-E57F9AE39DFA}"/>
            </a:ext>
            <a:ext uri="{147F2762-F138-4A5C-976F-8EAC2B608ADB}">
              <a16:predDERef xmlns:a16="http://schemas.microsoft.com/office/drawing/2014/main" pred="{8CB18365-0B98-F081-1493-CDC0DCE65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7</xdr:row>
      <xdr:rowOff>0</xdr:rowOff>
    </xdr:from>
    <xdr:to>
      <xdr:col>13</xdr:col>
      <xdr:colOff>419100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C11EF-510A-B4AE-FABF-DD37302CC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9</xdr:row>
      <xdr:rowOff>76200</xdr:rowOff>
    </xdr:from>
    <xdr:to>
      <xdr:col>14</xdr:col>
      <xdr:colOff>438150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311D1-0625-164A-D0C3-EF722BC22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0</xdr:rowOff>
    </xdr:from>
    <xdr:to>
      <xdr:col>12</xdr:col>
      <xdr:colOff>295275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57C49-C502-DF36-A811-7F90AE954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1</xdr:row>
      <xdr:rowOff>161925</xdr:rowOff>
    </xdr:from>
    <xdr:to>
      <xdr:col>17</xdr:col>
      <xdr:colOff>161925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B0E49-B39B-6D6A-8E7E-7980D3E93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7</xdr:row>
      <xdr:rowOff>0</xdr:rowOff>
    </xdr:from>
    <xdr:to>
      <xdr:col>14</xdr:col>
      <xdr:colOff>190500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238A8-08A1-4788-A421-EB53997B2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23</xdr:row>
      <xdr:rowOff>95250</xdr:rowOff>
    </xdr:from>
    <xdr:to>
      <xdr:col>7</xdr:col>
      <xdr:colOff>104775</xdr:colOff>
      <xdr:row>39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0AB7F-7585-4076-853D-F88B49BF2425}"/>
            </a:ext>
            <a:ext uri="{147F2762-F138-4A5C-976F-8EAC2B608ADB}">
              <a16:predDERef xmlns:a16="http://schemas.microsoft.com/office/drawing/2014/main" pred="{BB6238A8-08A1-4788-A421-EB53997B2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6</xdr:row>
      <xdr:rowOff>180975</xdr:rowOff>
    </xdr:from>
    <xdr:to>
      <xdr:col>7</xdr:col>
      <xdr:colOff>95250</xdr:colOff>
      <xdr:row>23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AEEDB6-4181-4069-8FAF-45CD80109951}"/>
            </a:ext>
            <a:ext uri="{147F2762-F138-4A5C-976F-8EAC2B608ADB}">
              <a16:predDERef xmlns:a16="http://schemas.microsoft.com/office/drawing/2014/main" pred="{C570AB7F-7585-4076-853D-F88B49BF2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23</xdr:row>
      <xdr:rowOff>114300</xdr:rowOff>
    </xdr:from>
    <xdr:to>
      <xdr:col>14</xdr:col>
      <xdr:colOff>190500</xdr:colOff>
      <xdr:row>39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2FAA69-4CAB-457B-8739-B9688781E3DF}"/>
            </a:ext>
            <a:ext uri="{147F2762-F138-4A5C-976F-8EAC2B608ADB}">
              <a16:predDERef xmlns:a16="http://schemas.microsoft.com/office/drawing/2014/main" pred="{B6AEEDB6-4181-4069-8FAF-45CD80109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6</xdr:row>
      <xdr:rowOff>171450</xdr:rowOff>
    </xdr:from>
    <xdr:to>
      <xdr:col>21</xdr:col>
      <xdr:colOff>476250</xdr:colOff>
      <xdr:row>22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359FC6-0B52-4EEF-9A80-67451C34CFEE}"/>
            </a:ext>
            <a:ext uri="{147F2762-F138-4A5C-976F-8EAC2B608ADB}">
              <a16:predDERef xmlns:a16="http://schemas.microsoft.com/office/drawing/2014/main" pred="{FC2FAA69-4CAB-457B-8739-B9688781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4.041565740743" createdVersion="8" refreshedVersion="8" minRefreshableVersion="3" recordCount="60" xr:uid="{9CBE77BA-15D9-40F1-B005-E2BC914D678A}">
  <cacheSource type="worksheet">
    <worksheetSource ref="A1:T61" sheet="Table"/>
  </cacheSource>
  <cacheFields count="20">
    <cacheField name="Date" numFmtId="14">
      <sharedItems containsSemiMixedTypes="0" containsNonDate="0" containsDate="1" containsString="0" minDate="2026-03-01T00:00:00" maxDate="2026-04-30T00:00:00"/>
    </cacheField>
    <cacheField name="Film_Title" numFmtId="0">
      <sharedItems count="5">
        <s v="Midnight Echo"/>
        <s v="Glass City"/>
        <s v="Blue Horizon"/>
        <s v="Silent Frame"/>
        <s v="Neon Dust"/>
      </sharedItems>
    </cacheField>
    <cacheField name="Platform" numFmtId="0">
      <sharedItems count="5">
        <s v="Instagram"/>
        <s v="TikTok"/>
        <s v="YouTube"/>
        <s v="Website"/>
        <s v="Email"/>
      </sharedItems>
    </cacheField>
    <cacheField name="Campaign" numFmtId="0">
      <sharedItems count="5">
        <s v="Trailer Launch"/>
        <s v="Influencer Push"/>
        <s v="Festival Promo"/>
        <s v="Email Blast"/>
        <s v="Release Week Ads"/>
      </sharedItems>
    </cacheField>
    <cacheField name="Audience_Age_Group" numFmtId="0">
      <sharedItems containsBlank="1" count="5">
        <s v="18-24"/>
        <s v="25-34"/>
        <s v="35-44"/>
        <s v="45+"/>
        <m u="1"/>
      </sharedItems>
    </cacheField>
    <cacheField name="Region" numFmtId="0">
      <sharedItems containsBlank="1" count="5">
        <s v="Northeast"/>
        <s v="South"/>
        <s v="Midwest"/>
        <s v="West"/>
        <m u="1"/>
      </sharedItems>
    </cacheField>
    <cacheField name="Impressions" numFmtId="0">
      <sharedItems containsSemiMixedTypes="0" containsString="0" containsNumber="1" containsInteger="1" minValue="5023" maxValue="19963"/>
    </cacheField>
    <cacheField name="Clicks" numFmtId="0">
      <sharedItems containsSemiMixedTypes="0" containsString="0" containsNumber="1" containsInteger="1" minValue="215" maxValue="1494"/>
    </cacheField>
    <cacheField name="Views" numFmtId="0">
      <sharedItems containsSemiMixedTypes="0" containsString="0" containsNumber="1" containsInteger="1" minValue="115" maxValue="967"/>
    </cacheField>
    <cacheField name="Watch_Time_Minutes" numFmtId="0">
      <sharedItems containsSemiMixedTypes="0" containsString="0" containsNumber="1" containsInteger="1" minValue="246" maxValue="4835"/>
    </cacheField>
    <cacheField name="Likes" numFmtId="0">
      <sharedItems containsSemiMixedTypes="0" containsString="0" containsNumber="1" containsInteger="1" minValue="88" maxValue="599"/>
    </cacheField>
    <cacheField name="Shares" numFmtId="0">
      <sharedItems containsSemiMixedTypes="0" containsString="0" containsNumber="1" containsInteger="1" minValue="14" maxValue="200"/>
    </cacheField>
    <cacheField name="Comments" numFmtId="0">
      <sharedItems containsSemiMixedTypes="0" containsString="0" containsNumber="1" containsInteger="1" minValue="5" maxValue="97"/>
    </cacheField>
    <cacheField name="Email_Signups" numFmtId="0">
      <sharedItems containsSemiMixedTypes="0" containsString="0" containsNumber="1" containsInteger="1" minValue="5" maxValue="50"/>
    </cacheField>
    <cacheField name="Subscriptions" numFmtId="0">
      <sharedItems containsSemiMixedTypes="0" containsString="0" containsNumber="1" containsInteger="1" minValue="2" maxValue="40"/>
    </cacheField>
    <cacheField name="Ad_Spend" numFmtId="0">
      <sharedItems containsSemiMixedTypes="0" containsString="0" containsNumber="1" containsInteger="1" minValue="111" maxValue="489"/>
    </cacheField>
    <cacheField name="CTR" numFmtId="10">
      <sharedItems containsSemiMixedTypes="0" containsString="0" containsNumber="1" minValue="1.572039072039072E-2" maxValue="0.21264150943396226"/>
    </cacheField>
    <cacheField name="Engagement" numFmtId="0">
      <sharedItems containsSemiMixedTypes="0" containsString="0" containsNumber="1" containsInteger="1" minValue="176" maxValue="853"/>
    </cacheField>
    <cacheField name="Engagement_Rate" numFmtId="10">
      <sharedItems containsSemiMixedTypes="0" containsString="0" containsNumber="1" minValue="1.1778754817347881E-2" maxValue="0.11552853133769879"/>
    </cacheField>
    <cacheField name="Conversion_Rate" numFmtId="10">
      <sharedItems containsSemiMixedTypes="0" containsString="0" containsNumber="1" minValue="2.1668472372697724E-3" maxValue="0.22608695652173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3-01T00:00:00"/>
    <x v="0"/>
    <x v="0"/>
    <x v="0"/>
    <x v="0"/>
    <x v="0"/>
    <n v="7019"/>
    <n v="960"/>
    <n v="492"/>
    <n v="2460"/>
    <n v="138"/>
    <n v="23"/>
    <n v="15"/>
    <n v="11"/>
    <n v="40"/>
    <n v="219"/>
    <n v="0.13677161988887307"/>
    <n v="176"/>
    <n v="2.5074796979626727E-2"/>
    <n v="8.1300813008130079E-2"/>
  </r>
  <r>
    <d v="2026-03-02T00:00:00"/>
    <x v="1"/>
    <x v="1"/>
    <x v="1"/>
    <x v="1"/>
    <x v="1"/>
    <n v="18382"/>
    <n v="402"/>
    <n v="684"/>
    <n v="2052"/>
    <n v="599"/>
    <n v="60"/>
    <n v="5"/>
    <n v="28"/>
    <n v="33"/>
    <n v="123"/>
    <n v="2.1869219889021869E-2"/>
    <n v="664"/>
    <n v="3.6122293548036123E-2"/>
    <n v="4.8245614035087717E-2"/>
  </r>
  <r>
    <d v="2026-03-03T00:00:00"/>
    <x v="2"/>
    <x v="2"/>
    <x v="2"/>
    <x v="2"/>
    <x v="2"/>
    <n v="5300"/>
    <n v="1127"/>
    <n v="550"/>
    <n v="2750"/>
    <n v="317"/>
    <n v="157"/>
    <n v="11"/>
    <n v="18"/>
    <n v="37"/>
    <n v="151"/>
    <n v="0.21264150943396226"/>
    <n v="485"/>
    <n v="9.1509433962264145E-2"/>
    <n v="6.7272727272727276E-2"/>
  </r>
  <r>
    <d v="2026-03-04T00:00:00"/>
    <x v="3"/>
    <x v="3"/>
    <x v="3"/>
    <x v="3"/>
    <x v="3"/>
    <n v="11901"/>
    <n v="995"/>
    <n v="235"/>
    <n v="940"/>
    <n v="414"/>
    <n v="115"/>
    <n v="76"/>
    <n v="33"/>
    <n v="32"/>
    <n v="330"/>
    <n v="8.3606419628602643E-2"/>
    <n v="605"/>
    <n v="5.0836064196286029E-2"/>
    <n v="0.13617021276595745"/>
  </r>
  <r>
    <d v="2026-03-05T00:00:00"/>
    <x v="4"/>
    <x v="4"/>
    <x v="4"/>
    <x v="1"/>
    <x v="1"/>
    <n v="14770"/>
    <n v="830"/>
    <n v="444"/>
    <n v="1332"/>
    <n v="252"/>
    <n v="18"/>
    <n v="26"/>
    <n v="9"/>
    <n v="18"/>
    <n v="464"/>
    <n v="5.6194989844278946E-2"/>
    <n v="296"/>
    <n v="2.0040622884224781E-2"/>
    <n v="4.0540540540540543E-2"/>
  </r>
  <r>
    <d v="2026-03-06T00:00:00"/>
    <x v="0"/>
    <x v="0"/>
    <x v="0"/>
    <x v="0"/>
    <x v="0"/>
    <n v="18423"/>
    <n v="595"/>
    <n v="727"/>
    <n v="2181"/>
    <n v="107"/>
    <n v="70"/>
    <n v="40"/>
    <n v="23"/>
    <n v="11"/>
    <n v="295"/>
    <n v="3.2296585789502251E-2"/>
    <n v="217"/>
    <n v="1.1778754817347881E-2"/>
    <n v="1.5130674002751032E-2"/>
  </r>
  <r>
    <d v="2026-03-07T00:00:00"/>
    <x v="1"/>
    <x v="1"/>
    <x v="1"/>
    <x v="1"/>
    <x v="1"/>
    <n v="6517"/>
    <n v="567"/>
    <n v="404"/>
    <n v="1616"/>
    <n v="162"/>
    <n v="156"/>
    <n v="16"/>
    <n v="44"/>
    <n v="40"/>
    <n v="240"/>
    <n v="8.7003222341568209E-2"/>
    <n v="334"/>
    <n v="5.1250575418137177E-2"/>
    <n v="9.9009900990099015E-2"/>
  </r>
  <r>
    <d v="2026-03-08T00:00:00"/>
    <x v="2"/>
    <x v="2"/>
    <x v="2"/>
    <x v="2"/>
    <x v="2"/>
    <n v="15875"/>
    <n v="1407"/>
    <n v="782"/>
    <n v="3128"/>
    <n v="241"/>
    <n v="179"/>
    <n v="31"/>
    <n v="15"/>
    <n v="30"/>
    <n v="481"/>
    <n v="8.8629921259842523E-2"/>
    <n v="451"/>
    <n v="2.8409448818897638E-2"/>
    <n v="3.8363171355498722E-2"/>
  </r>
  <r>
    <d v="2026-03-09T00:00:00"/>
    <x v="3"/>
    <x v="3"/>
    <x v="3"/>
    <x v="3"/>
    <x v="3"/>
    <n v="9369"/>
    <n v="292"/>
    <n v="774"/>
    <n v="1548"/>
    <n v="180"/>
    <n v="62"/>
    <n v="21"/>
    <n v="46"/>
    <n v="2"/>
    <n v="154"/>
    <n v="3.116661329917814E-2"/>
    <n v="263"/>
    <n v="2.8071298964670723E-2"/>
    <n v="2.5839793281653748E-3"/>
  </r>
  <r>
    <d v="2026-03-10T00:00:00"/>
    <x v="4"/>
    <x v="4"/>
    <x v="4"/>
    <x v="1"/>
    <x v="1"/>
    <n v="13355"/>
    <n v="215"/>
    <n v="625"/>
    <n v="1250"/>
    <n v="529"/>
    <n v="195"/>
    <n v="79"/>
    <n v="10"/>
    <n v="39"/>
    <n v="139"/>
    <n v="1.6098839385997755E-2"/>
    <n v="803"/>
    <n v="6.0127293148633472E-2"/>
    <n v="6.2399999999999997E-2"/>
  </r>
  <r>
    <d v="2026-03-11T00:00:00"/>
    <x v="0"/>
    <x v="0"/>
    <x v="0"/>
    <x v="0"/>
    <x v="0"/>
    <n v="8970"/>
    <n v="619"/>
    <n v="144"/>
    <n v="576"/>
    <n v="112"/>
    <n v="166"/>
    <n v="9"/>
    <n v="23"/>
    <n v="11"/>
    <n v="166"/>
    <n v="6.9007803790412492E-2"/>
    <n v="287"/>
    <n v="3.1995540691192863E-2"/>
    <n v="7.6388888888888895E-2"/>
  </r>
  <r>
    <d v="2026-03-12T00:00:00"/>
    <x v="1"/>
    <x v="1"/>
    <x v="1"/>
    <x v="1"/>
    <x v="1"/>
    <n v="6850"/>
    <n v="589"/>
    <n v="638"/>
    <n v="1914"/>
    <n v="520"/>
    <n v="166"/>
    <n v="60"/>
    <n v="43"/>
    <n v="31"/>
    <n v="116"/>
    <n v="8.5985401459854019E-2"/>
    <n v="746"/>
    <n v="0.10890510948905109"/>
    <n v="4.8589341692789965E-2"/>
  </r>
  <r>
    <d v="2026-03-13T00:00:00"/>
    <x v="2"/>
    <x v="2"/>
    <x v="2"/>
    <x v="2"/>
    <x v="2"/>
    <n v="18907"/>
    <n v="1227"/>
    <n v="843"/>
    <n v="3372"/>
    <n v="266"/>
    <n v="55"/>
    <n v="27"/>
    <n v="32"/>
    <n v="2"/>
    <n v="359"/>
    <n v="6.4896599143174485E-2"/>
    <n v="348"/>
    <n v="1.840588141958005E-2"/>
    <n v="2.3724792408066431E-3"/>
  </r>
  <r>
    <d v="2026-03-14T00:00:00"/>
    <x v="3"/>
    <x v="3"/>
    <x v="3"/>
    <x v="3"/>
    <x v="3"/>
    <n v="14564"/>
    <n v="300"/>
    <n v="498"/>
    <n v="2490"/>
    <n v="301"/>
    <n v="140"/>
    <n v="87"/>
    <n v="41"/>
    <n v="22"/>
    <n v="364"/>
    <n v="2.0598736610821202E-2"/>
    <n v="528"/>
    <n v="3.6253776435045321E-2"/>
    <n v="4.4176706827309238E-2"/>
  </r>
  <r>
    <d v="2026-03-15T00:00:00"/>
    <x v="4"/>
    <x v="4"/>
    <x v="4"/>
    <x v="1"/>
    <x v="1"/>
    <n v="19963"/>
    <n v="1011"/>
    <n v="140"/>
    <n v="560"/>
    <n v="364"/>
    <n v="126"/>
    <n v="79"/>
    <n v="9"/>
    <n v="31"/>
    <n v="288"/>
    <n v="5.0643690828031857E-2"/>
    <n v="569"/>
    <n v="2.8502730050593599E-2"/>
    <n v="0.22142857142857142"/>
  </r>
  <r>
    <d v="2026-03-16T00:00:00"/>
    <x v="0"/>
    <x v="0"/>
    <x v="0"/>
    <x v="0"/>
    <x v="0"/>
    <n v="7580"/>
    <n v="292"/>
    <n v="185"/>
    <n v="740"/>
    <n v="364"/>
    <n v="70"/>
    <n v="11"/>
    <n v="12"/>
    <n v="33"/>
    <n v="162"/>
    <n v="3.8522427440633243E-2"/>
    <n v="445"/>
    <n v="5.8707124010554092E-2"/>
    <n v="0.17837837837837839"/>
  </r>
  <r>
    <d v="2026-03-17T00:00:00"/>
    <x v="1"/>
    <x v="1"/>
    <x v="1"/>
    <x v="1"/>
    <x v="1"/>
    <n v="6414"/>
    <n v="717"/>
    <n v="115"/>
    <n v="345"/>
    <n v="572"/>
    <n v="143"/>
    <n v="26"/>
    <n v="50"/>
    <n v="26"/>
    <n v="319"/>
    <n v="0.11178671655753041"/>
    <n v="741"/>
    <n v="0.11552853133769879"/>
    <n v="0.22608695652173913"/>
  </r>
  <r>
    <d v="2026-03-18T00:00:00"/>
    <x v="2"/>
    <x v="2"/>
    <x v="2"/>
    <x v="2"/>
    <x v="2"/>
    <n v="17194"/>
    <n v="788"/>
    <n v="499"/>
    <n v="998"/>
    <n v="310"/>
    <n v="151"/>
    <n v="83"/>
    <n v="49"/>
    <n v="15"/>
    <n v="381"/>
    <n v="4.5829940676980339E-2"/>
    <n v="544"/>
    <n v="3.1638943817610794E-2"/>
    <n v="3.0060120240480961E-2"/>
  </r>
  <r>
    <d v="2026-03-19T00:00:00"/>
    <x v="3"/>
    <x v="3"/>
    <x v="3"/>
    <x v="3"/>
    <x v="3"/>
    <n v="18957"/>
    <n v="552"/>
    <n v="845"/>
    <n v="2535"/>
    <n v="326"/>
    <n v="85"/>
    <n v="43"/>
    <n v="7"/>
    <n v="18"/>
    <n v="249"/>
    <n v="2.9118531413198291E-2"/>
    <n v="454"/>
    <n v="2.3948937068101493E-2"/>
    <n v="2.1301775147928994E-2"/>
  </r>
  <r>
    <d v="2026-03-20T00:00:00"/>
    <x v="4"/>
    <x v="4"/>
    <x v="4"/>
    <x v="1"/>
    <x v="1"/>
    <n v="8435"/>
    <n v="1146"/>
    <n v="403"/>
    <n v="1209"/>
    <n v="116"/>
    <n v="185"/>
    <n v="79"/>
    <n v="16"/>
    <n v="9"/>
    <n v="113"/>
    <n v="0.13586247777119145"/>
    <n v="380"/>
    <n v="4.5050385299347954E-2"/>
    <n v="2.2332506203473945E-2"/>
  </r>
  <r>
    <d v="2026-03-21T00:00:00"/>
    <x v="0"/>
    <x v="0"/>
    <x v="0"/>
    <x v="0"/>
    <x v="0"/>
    <n v="6970"/>
    <n v="1279"/>
    <n v="523"/>
    <n v="1569"/>
    <n v="401"/>
    <n v="111"/>
    <n v="90"/>
    <n v="20"/>
    <n v="34"/>
    <n v="473"/>
    <n v="0.18350071736011478"/>
    <n v="602"/>
    <n v="8.6370157819225246E-2"/>
    <n v="6.5009560229445512E-2"/>
  </r>
  <r>
    <d v="2026-03-22T00:00:00"/>
    <x v="1"/>
    <x v="1"/>
    <x v="1"/>
    <x v="1"/>
    <x v="1"/>
    <n v="6483"/>
    <n v="1193"/>
    <n v="893"/>
    <n v="3572"/>
    <n v="395"/>
    <n v="175"/>
    <n v="57"/>
    <n v="5"/>
    <n v="38"/>
    <n v="301"/>
    <n v="0.18401974394570414"/>
    <n v="627"/>
    <n v="9.6714484035168899E-2"/>
    <n v="4.2553191489361701E-2"/>
  </r>
  <r>
    <d v="2026-03-23T00:00:00"/>
    <x v="2"/>
    <x v="2"/>
    <x v="2"/>
    <x v="2"/>
    <x v="2"/>
    <n v="12557"/>
    <n v="1075"/>
    <n v="126"/>
    <n v="630"/>
    <n v="242"/>
    <n v="102"/>
    <n v="41"/>
    <n v="49"/>
    <n v="20"/>
    <n v="386"/>
    <n v="8.5609620132197181E-2"/>
    <n v="385"/>
    <n v="3.0660189535717131E-2"/>
    <n v="0.15873015873015872"/>
  </r>
  <r>
    <d v="2026-03-24T00:00:00"/>
    <x v="3"/>
    <x v="3"/>
    <x v="3"/>
    <x v="3"/>
    <x v="3"/>
    <n v="10306"/>
    <n v="741"/>
    <n v="123"/>
    <n v="246"/>
    <n v="516"/>
    <n v="87"/>
    <n v="34"/>
    <n v="45"/>
    <n v="9"/>
    <n v="269"/>
    <n v="7.1899864156801857E-2"/>
    <n v="637"/>
    <n v="6.1808655152338444E-2"/>
    <n v="7.3170731707317069E-2"/>
  </r>
  <r>
    <d v="2026-03-25T00:00:00"/>
    <x v="4"/>
    <x v="4"/>
    <x v="4"/>
    <x v="1"/>
    <x v="1"/>
    <n v="15424"/>
    <n v="248"/>
    <n v="896"/>
    <n v="3584"/>
    <n v="414"/>
    <n v="14"/>
    <n v="96"/>
    <n v="34"/>
    <n v="12"/>
    <n v="112"/>
    <n v="1.6078838174273857E-2"/>
    <n v="524"/>
    <n v="3.3973029045643151E-2"/>
    <n v="1.3392857142857142E-2"/>
  </r>
  <r>
    <d v="2026-03-26T00:00:00"/>
    <x v="0"/>
    <x v="0"/>
    <x v="0"/>
    <x v="0"/>
    <x v="0"/>
    <n v="16579"/>
    <n v="963"/>
    <n v="822"/>
    <n v="1644"/>
    <n v="558"/>
    <n v="181"/>
    <n v="7"/>
    <n v="37"/>
    <n v="30"/>
    <n v="456"/>
    <n v="5.8085529887206708E-2"/>
    <n v="746"/>
    <n v="4.4996682550214127E-2"/>
    <n v="3.6496350364963501E-2"/>
  </r>
  <r>
    <d v="2026-03-27T00:00:00"/>
    <x v="1"/>
    <x v="1"/>
    <x v="1"/>
    <x v="1"/>
    <x v="1"/>
    <n v="16265"/>
    <n v="1239"/>
    <n v="354"/>
    <n v="1062"/>
    <n v="572"/>
    <n v="102"/>
    <n v="24"/>
    <n v="40"/>
    <n v="11"/>
    <n v="225"/>
    <n v="7.6175837688287729E-2"/>
    <n v="698"/>
    <n v="4.2914233015677837E-2"/>
    <n v="3.1073446327683617E-2"/>
  </r>
  <r>
    <d v="2026-03-28T00:00:00"/>
    <x v="2"/>
    <x v="2"/>
    <x v="2"/>
    <x v="2"/>
    <x v="2"/>
    <n v="8108"/>
    <n v="984"/>
    <n v="866"/>
    <n v="4330"/>
    <n v="167"/>
    <n v="189"/>
    <n v="73"/>
    <n v="48"/>
    <n v="16"/>
    <n v="186"/>
    <n v="0.12136161815490873"/>
    <n v="429"/>
    <n v="5.2910705476073017E-2"/>
    <n v="1.8475750577367205E-2"/>
  </r>
  <r>
    <d v="2026-03-29T00:00:00"/>
    <x v="3"/>
    <x v="3"/>
    <x v="3"/>
    <x v="3"/>
    <x v="3"/>
    <n v="17348"/>
    <n v="749"/>
    <n v="923"/>
    <n v="3692"/>
    <n v="565"/>
    <n v="20"/>
    <n v="35"/>
    <n v="44"/>
    <n v="9"/>
    <n v="392"/>
    <n v="4.3175005764353243E-2"/>
    <n v="620"/>
    <n v="3.5738990085312429E-2"/>
    <n v="9.7508125677139759E-3"/>
  </r>
  <r>
    <d v="2026-03-30T00:00:00"/>
    <x v="4"/>
    <x v="4"/>
    <x v="4"/>
    <x v="1"/>
    <x v="1"/>
    <n v="8077"/>
    <n v="617"/>
    <n v="510"/>
    <n v="2040"/>
    <n v="241"/>
    <n v="54"/>
    <n v="40"/>
    <n v="32"/>
    <n v="9"/>
    <n v="436"/>
    <n v="7.6389748669060301E-2"/>
    <n v="335"/>
    <n v="4.1475795468614587E-2"/>
    <n v="1.7647058823529412E-2"/>
  </r>
  <r>
    <d v="2026-03-31T00:00:00"/>
    <x v="0"/>
    <x v="0"/>
    <x v="0"/>
    <x v="0"/>
    <x v="0"/>
    <n v="17787"/>
    <n v="755"/>
    <n v="875"/>
    <n v="4375"/>
    <n v="435"/>
    <n v="63"/>
    <n v="46"/>
    <n v="26"/>
    <n v="3"/>
    <n v="257"/>
    <n v="4.2446730758419073E-2"/>
    <n v="544"/>
    <n v="3.0584134480238376E-2"/>
    <n v="3.4285714285714284E-3"/>
  </r>
  <r>
    <d v="2026-04-01T00:00:00"/>
    <x v="1"/>
    <x v="1"/>
    <x v="1"/>
    <x v="1"/>
    <x v="1"/>
    <n v="16160"/>
    <n v="727"/>
    <n v="386"/>
    <n v="772"/>
    <n v="88"/>
    <n v="107"/>
    <n v="97"/>
    <n v="40"/>
    <n v="23"/>
    <n v="489"/>
    <n v="4.4987623762376236E-2"/>
    <n v="292"/>
    <n v="1.8069306930693068E-2"/>
    <n v="5.9585492227979271E-2"/>
  </r>
  <r>
    <d v="2026-04-02T00:00:00"/>
    <x v="2"/>
    <x v="2"/>
    <x v="2"/>
    <x v="2"/>
    <x v="2"/>
    <n v="19801"/>
    <n v="1069"/>
    <n v="717"/>
    <n v="2151"/>
    <n v="444"/>
    <n v="16"/>
    <n v="68"/>
    <n v="9"/>
    <n v="37"/>
    <n v="396"/>
    <n v="5.3987172365032067E-2"/>
    <n v="528"/>
    <n v="2.6665319933336699E-2"/>
    <n v="5.1603905160390519E-2"/>
  </r>
  <r>
    <d v="2026-04-03T00:00:00"/>
    <x v="3"/>
    <x v="3"/>
    <x v="3"/>
    <x v="3"/>
    <x v="3"/>
    <n v="19656"/>
    <n v="309"/>
    <n v="416"/>
    <n v="1248"/>
    <n v="220"/>
    <n v="76"/>
    <n v="29"/>
    <n v="7"/>
    <n v="2"/>
    <n v="485"/>
    <n v="1.572039072039072E-2"/>
    <n v="325"/>
    <n v="1.6534391534391533E-2"/>
    <n v="4.807692307692308E-3"/>
  </r>
  <r>
    <d v="2026-04-04T00:00:00"/>
    <x v="4"/>
    <x v="4"/>
    <x v="4"/>
    <x v="1"/>
    <x v="1"/>
    <n v="5023"/>
    <n v="415"/>
    <n v="449"/>
    <n v="1347"/>
    <n v="190"/>
    <n v="191"/>
    <n v="79"/>
    <n v="49"/>
    <n v="39"/>
    <n v="367"/>
    <n v="8.2619948238104715E-2"/>
    <n v="460"/>
    <n v="9.1578737806091978E-2"/>
    <n v="8.6859688195991089E-2"/>
  </r>
  <r>
    <d v="2026-04-05T00:00:00"/>
    <x v="0"/>
    <x v="0"/>
    <x v="0"/>
    <x v="0"/>
    <x v="0"/>
    <n v="15516"/>
    <n v="419"/>
    <n v="546"/>
    <n v="2730"/>
    <n v="163"/>
    <n v="158"/>
    <n v="31"/>
    <n v="16"/>
    <n v="36"/>
    <n v="265"/>
    <n v="2.7004382572828049E-2"/>
    <n v="352"/>
    <n v="2.2686259345192059E-2"/>
    <n v="6.5934065934065936E-2"/>
  </r>
  <r>
    <d v="2026-04-06T00:00:00"/>
    <x v="1"/>
    <x v="1"/>
    <x v="1"/>
    <x v="1"/>
    <x v="1"/>
    <n v="7650"/>
    <n v="1418"/>
    <n v="189"/>
    <n v="756"/>
    <n v="508"/>
    <n v="83"/>
    <n v="11"/>
    <n v="41"/>
    <n v="15"/>
    <n v="398"/>
    <n v="0.18535947712418302"/>
    <n v="602"/>
    <n v="7.8692810457516346E-2"/>
    <n v="7.9365079365079361E-2"/>
  </r>
  <r>
    <d v="2026-04-07T00:00:00"/>
    <x v="2"/>
    <x v="2"/>
    <x v="2"/>
    <x v="2"/>
    <x v="2"/>
    <n v="11283"/>
    <n v="844"/>
    <n v="716"/>
    <n v="1432"/>
    <n v="265"/>
    <n v="50"/>
    <n v="93"/>
    <n v="20"/>
    <n v="22"/>
    <n v="180"/>
    <n v="7.4802800673579722E-2"/>
    <n v="408"/>
    <n v="3.6160595586280243E-2"/>
    <n v="3.0726256983240222E-2"/>
  </r>
  <r>
    <d v="2026-04-08T00:00:00"/>
    <x v="3"/>
    <x v="3"/>
    <x v="3"/>
    <x v="3"/>
    <x v="3"/>
    <n v="13012"/>
    <n v="1168"/>
    <n v="476"/>
    <n v="952"/>
    <n v="377"/>
    <n v="110"/>
    <n v="83"/>
    <n v="48"/>
    <n v="30"/>
    <n v="111"/>
    <n v="8.9763295419612671E-2"/>
    <n v="570"/>
    <n v="4.3805717798954813E-2"/>
    <n v="6.3025210084033612E-2"/>
  </r>
  <r>
    <d v="2026-04-09T00:00:00"/>
    <x v="4"/>
    <x v="4"/>
    <x v="4"/>
    <x v="1"/>
    <x v="1"/>
    <n v="11103"/>
    <n v="887"/>
    <n v="362"/>
    <n v="724"/>
    <n v="132"/>
    <n v="62"/>
    <n v="79"/>
    <n v="40"/>
    <n v="26"/>
    <n v="468"/>
    <n v="7.9888318472484912E-2"/>
    <n v="273"/>
    <n v="2.4587949202918132E-2"/>
    <n v="7.18232044198895E-2"/>
  </r>
  <r>
    <d v="2026-04-10T00:00:00"/>
    <x v="0"/>
    <x v="0"/>
    <x v="0"/>
    <x v="0"/>
    <x v="0"/>
    <n v="10544"/>
    <n v="939"/>
    <n v="734"/>
    <n v="2202"/>
    <n v="372"/>
    <n v="21"/>
    <n v="34"/>
    <n v="46"/>
    <n v="12"/>
    <n v="462"/>
    <n v="8.9055386949924126E-2"/>
    <n v="427"/>
    <n v="4.0496965098634291E-2"/>
    <n v="1.6348773841961851E-2"/>
  </r>
  <r>
    <d v="2026-04-11T00:00:00"/>
    <x v="1"/>
    <x v="1"/>
    <x v="1"/>
    <x v="1"/>
    <x v="1"/>
    <n v="19663"/>
    <n v="1181"/>
    <n v="408"/>
    <n v="1632"/>
    <n v="241"/>
    <n v="147"/>
    <n v="28"/>
    <n v="24"/>
    <n v="14"/>
    <n v="294"/>
    <n v="6.0062045466103851E-2"/>
    <n v="416"/>
    <n v="2.1156486802624219E-2"/>
    <n v="3.4313725490196081E-2"/>
  </r>
  <r>
    <d v="2026-04-12T00:00:00"/>
    <x v="2"/>
    <x v="2"/>
    <x v="2"/>
    <x v="2"/>
    <x v="2"/>
    <n v="10268"/>
    <n v="1135"/>
    <n v="437"/>
    <n v="874"/>
    <n v="170"/>
    <n v="110"/>
    <n v="58"/>
    <n v="47"/>
    <n v="15"/>
    <n v="359"/>
    <n v="0.11053759252045189"/>
    <n v="338"/>
    <n v="3.29178028827425E-2"/>
    <n v="3.4324942791762014E-2"/>
  </r>
  <r>
    <d v="2026-04-13T00:00:00"/>
    <x v="3"/>
    <x v="3"/>
    <x v="3"/>
    <x v="3"/>
    <x v="3"/>
    <n v="17132"/>
    <n v="1199"/>
    <n v="333"/>
    <n v="999"/>
    <n v="523"/>
    <n v="97"/>
    <n v="39"/>
    <n v="19"/>
    <n v="22"/>
    <n v="286"/>
    <n v="6.9985991127714225E-2"/>
    <n v="659"/>
    <n v="3.8466028484706982E-2"/>
    <n v="6.6066066066066062E-2"/>
  </r>
  <r>
    <d v="2026-04-14T00:00:00"/>
    <x v="4"/>
    <x v="4"/>
    <x v="4"/>
    <x v="1"/>
    <x v="1"/>
    <n v="15275"/>
    <n v="734"/>
    <n v="666"/>
    <n v="2664"/>
    <n v="256"/>
    <n v="104"/>
    <n v="90"/>
    <n v="27"/>
    <n v="37"/>
    <n v="144"/>
    <n v="4.8052373158756136E-2"/>
    <n v="450"/>
    <n v="2.9459901800327332E-2"/>
    <n v="5.5555555555555552E-2"/>
  </r>
  <r>
    <d v="2026-04-15T00:00:00"/>
    <x v="0"/>
    <x v="0"/>
    <x v="0"/>
    <x v="0"/>
    <x v="0"/>
    <n v="15876"/>
    <n v="1146"/>
    <n v="836"/>
    <n v="2508"/>
    <n v="198"/>
    <n v="74"/>
    <n v="60"/>
    <n v="21"/>
    <n v="3"/>
    <n v="231"/>
    <n v="7.218442932728647E-2"/>
    <n v="332"/>
    <n v="2.091206853111615E-2"/>
    <n v="3.5885167464114833E-3"/>
  </r>
  <r>
    <d v="2026-04-16T00:00:00"/>
    <x v="1"/>
    <x v="1"/>
    <x v="1"/>
    <x v="1"/>
    <x v="1"/>
    <n v="15845"/>
    <n v="1246"/>
    <n v="591"/>
    <n v="2955"/>
    <n v="536"/>
    <n v="164"/>
    <n v="30"/>
    <n v="39"/>
    <n v="40"/>
    <n v="260"/>
    <n v="7.8636793941306404E-2"/>
    <n v="730"/>
    <n v="4.6071315872514992E-2"/>
    <n v="6.7681895093062605E-2"/>
  </r>
  <r>
    <d v="2026-04-17T00:00:00"/>
    <x v="2"/>
    <x v="2"/>
    <x v="2"/>
    <x v="2"/>
    <x v="2"/>
    <n v="18745"/>
    <n v="311"/>
    <n v="450"/>
    <n v="900"/>
    <n v="498"/>
    <n v="109"/>
    <n v="21"/>
    <n v="17"/>
    <n v="38"/>
    <n v="180"/>
    <n v="1.6591090957588692E-2"/>
    <n v="628"/>
    <n v="3.350226727127234E-2"/>
    <n v="8.4444444444444447E-2"/>
  </r>
  <r>
    <d v="2026-04-18T00:00:00"/>
    <x v="3"/>
    <x v="3"/>
    <x v="3"/>
    <x v="3"/>
    <x v="3"/>
    <n v="11026"/>
    <n v="1494"/>
    <n v="161"/>
    <n v="644"/>
    <n v="150"/>
    <n v="85"/>
    <n v="19"/>
    <n v="11"/>
    <n v="32"/>
    <n v="193"/>
    <n v="0.13549791402140396"/>
    <n v="254"/>
    <n v="2.3036459278070017E-2"/>
    <n v="0.19875776397515527"/>
  </r>
  <r>
    <d v="2026-04-19T00:00:00"/>
    <x v="4"/>
    <x v="4"/>
    <x v="4"/>
    <x v="1"/>
    <x v="1"/>
    <n v="17011"/>
    <n v="1399"/>
    <n v="240"/>
    <n v="480"/>
    <n v="347"/>
    <n v="98"/>
    <n v="8"/>
    <n v="43"/>
    <n v="5"/>
    <n v="301"/>
    <n v="8.2240902945153141E-2"/>
    <n v="453"/>
    <n v="2.6629827758509202E-2"/>
    <n v="2.0833333333333332E-2"/>
  </r>
  <r>
    <d v="2026-04-20T00:00:00"/>
    <x v="0"/>
    <x v="0"/>
    <x v="0"/>
    <x v="0"/>
    <x v="0"/>
    <n v="6806"/>
    <n v="576"/>
    <n v="798"/>
    <n v="3990"/>
    <n v="400"/>
    <n v="192"/>
    <n v="75"/>
    <n v="33"/>
    <n v="3"/>
    <n v="382"/>
    <n v="8.4631207757860705E-2"/>
    <n v="667"/>
    <n v="9.8001763150161625E-2"/>
    <n v="3.7593984962406013E-3"/>
  </r>
  <r>
    <d v="2026-04-21T00:00:00"/>
    <x v="1"/>
    <x v="1"/>
    <x v="1"/>
    <x v="1"/>
    <x v="1"/>
    <n v="11613"/>
    <n v="1246"/>
    <n v="873"/>
    <n v="3492"/>
    <n v="561"/>
    <n v="22"/>
    <n v="12"/>
    <n v="39"/>
    <n v="30"/>
    <n v="199"/>
    <n v="0.10729355033152502"/>
    <n v="595"/>
    <n v="5.1235684147076549E-2"/>
    <n v="3.4364261168384883E-2"/>
  </r>
  <r>
    <d v="2026-04-22T00:00:00"/>
    <x v="2"/>
    <x v="2"/>
    <x v="2"/>
    <x v="2"/>
    <x v="2"/>
    <n v="11769"/>
    <n v="538"/>
    <n v="923"/>
    <n v="2769"/>
    <n v="170"/>
    <n v="146"/>
    <n v="69"/>
    <n v="15"/>
    <n v="2"/>
    <n v="376"/>
    <n v="4.5713314640156343E-2"/>
    <n v="385"/>
    <n v="3.271305973319738E-2"/>
    <n v="2.1668472372697724E-3"/>
  </r>
  <r>
    <d v="2026-04-23T00:00:00"/>
    <x v="3"/>
    <x v="3"/>
    <x v="3"/>
    <x v="3"/>
    <x v="3"/>
    <n v="8556"/>
    <n v="1314"/>
    <n v="554"/>
    <n v="1108"/>
    <n v="263"/>
    <n v="157"/>
    <n v="69"/>
    <n v="38"/>
    <n v="21"/>
    <n v="304"/>
    <n v="0.15357643758765779"/>
    <n v="489"/>
    <n v="5.7152875175315566E-2"/>
    <n v="3.7906137184115521E-2"/>
  </r>
  <r>
    <d v="2026-04-24T00:00:00"/>
    <x v="4"/>
    <x v="4"/>
    <x v="4"/>
    <x v="1"/>
    <x v="1"/>
    <n v="14083"/>
    <n v="450"/>
    <n v="483"/>
    <n v="1449"/>
    <n v="504"/>
    <n v="189"/>
    <n v="47"/>
    <n v="13"/>
    <n v="40"/>
    <n v="360"/>
    <n v="3.1953419015834691E-2"/>
    <n v="740"/>
    <n v="5.2545622381594832E-2"/>
    <n v="8.2815734989648032E-2"/>
  </r>
  <r>
    <d v="2026-04-25T00:00:00"/>
    <x v="0"/>
    <x v="0"/>
    <x v="0"/>
    <x v="0"/>
    <x v="0"/>
    <n v="19342"/>
    <n v="593"/>
    <n v="153"/>
    <n v="765"/>
    <n v="97"/>
    <n v="93"/>
    <n v="41"/>
    <n v="35"/>
    <n v="8"/>
    <n v="272"/>
    <n v="3.0658670251266673E-2"/>
    <n v="231"/>
    <n v="1.1942922138351773E-2"/>
    <n v="5.2287581699346407E-2"/>
  </r>
  <r>
    <d v="2026-04-26T00:00:00"/>
    <x v="1"/>
    <x v="1"/>
    <x v="1"/>
    <x v="1"/>
    <x v="1"/>
    <n v="10870"/>
    <n v="348"/>
    <n v="311"/>
    <n v="933"/>
    <n v="538"/>
    <n v="46"/>
    <n v="29"/>
    <n v="27"/>
    <n v="29"/>
    <n v="316"/>
    <n v="3.2014719411223552E-2"/>
    <n v="613"/>
    <n v="5.6393744250229992E-2"/>
    <n v="9.3247588424437297E-2"/>
  </r>
  <r>
    <d v="2026-04-27T00:00:00"/>
    <x v="2"/>
    <x v="2"/>
    <x v="2"/>
    <x v="2"/>
    <x v="2"/>
    <n v="9117"/>
    <n v="1418"/>
    <n v="437"/>
    <n v="1748"/>
    <n v="553"/>
    <n v="115"/>
    <n v="62"/>
    <n v="31"/>
    <n v="24"/>
    <n v="400"/>
    <n v="0.15553361851486233"/>
    <n v="730"/>
    <n v="8.0070198530218267E-2"/>
    <n v="5.4919908466819219E-2"/>
  </r>
  <r>
    <d v="2026-04-28T00:00:00"/>
    <x v="3"/>
    <x v="3"/>
    <x v="3"/>
    <x v="3"/>
    <x v="3"/>
    <n v="5128"/>
    <n v="301"/>
    <n v="119"/>
    <n v="476"/>
    <n v="122"/>
    <n v="19"/>
    <n v="56"/>
    <n v="24"/>
    <n v="7"/>
    <n v="112"/>
    <n v="5.8697347893915758E-2"/>
    <n v="197"/>
    <n v="3.8416536661466459E-2"/>
    <n v="5.8823529411764705E-2"/>
  </r>
  <r>
    <d v="2026-04-29T00:00:00"/>
    <x v="4"/>
    <x v="4"/>
    <x v="4"/>
    <x v="1"/>
    <x v="1"/>
    <n v="7838"/>
    <n v="375"/>
    <n v="967"/>
    <n v="4835"/>
    <n v="566"/>
    <n v="200"/>
    <n v="87"/>
    <n v="35"/>
    <n v="20"/>
    <n v="290"/>
    <n v="4.7843837713702472E-2"/>
    <n v="853"/>
    <n v="0.10882878285276856"/>
    <n v="2.068252326783867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0AD05-E88B-43C0-BA0E-3918187EF1A8}" name="PivotTable1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8" firstHeaderRow="1" firstDataRow="1" firstDataCol="1"/>
  <pivotFields count="20">
    <pivotField compact="0" numFmtId="14" outline="0" showAll="0"/>
    <pivotField axis="axisRow" compact="0" outline="0" showAll="0">
      <items count="6">
        <item x="2"/>
        <item x="1"/>
        <item x="0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ews" fld="8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785DC-AF69-47DF-873F-647E11E08FF1}" name="PivotTable2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8" firstHeaderRow="0" firstDataRow="1" firstDataCol="1"/>
  <pivotFields count="20">
    <pivotField compact="0" numFmtId="14" outline="0" showAll="0"/>
    <pivotField compact="0" outline="0" showAll="0"/>
    <pivotField axis="axisRow" compact="0" outline="0" showAll="0">
      <items count="6">
        <item x="4"/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Likes" fld="10" baseField="0" baseItem="0"/>
    <dataField name=" Shares" fld="11" baseField="0" baseItem="0"/>
    <dataField name=" Comments" fld="12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3AD8F-0072-4FC2-839D-5FF41342D187}" name="PivotTable3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8" firstHeaderRow="1" firstDataRow="1" firstDataCol="1"/>
  <pivotFields count="20"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bscriptions" fld="14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37E2D-EA6F-4A15-97B6-AE5422422412}" name="PivotTable4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7" firstHeaderRow="1" firstDataRow="1" firstDataCol="1"/>
  <pivotFields count="2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18" subtotal="average" baseField="0" baseItem="0"/>
  </dataFields>
  <formats count="2">
    <format dxfId="23">
      <pivotArea outline="0" collapsedLevelsAreSubtotals="1" fieldPosition="0"/>
    </format>
    <format dxfId="24">
      <pivotArea dataOnly="0" labelOnly="1" outline="0" axis="axisValues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F5113-02FE-49A6-8FC9-82DD96341F05}" name="PivotTable5" cacheId="5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7" firstHeaderRow="1" firstDataRow="1" firstDataCol="1"/>
  <pivotFields count="2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1"/>
        <item x="3"/>
        <item m="1"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iews" fld="8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93DBA-BDE6-4431-BBF5-E71DD746105B}" name="MarketingData" displayName="MarketingData" ref="A1:T61" totalsRowShown="0" headerRowDxfId="22" dataDxfId="21" tableBorderDxfId="20">
  <autoFilter ref="A1:T61" xr:uid="{DA293DBA-BDE6-4431-BBF5-E71DD746105B}"/>
  <tableColumns count="20">
    <tableColumn id="1" xr3:uid="{C02F8A80-B993-4BED-94AC-141D591593C3}" name="Date" dataDxfId="19"/>
    <tableColumn id="2" xr3:uid="{86E0C523-28BB-42FD-98DB-5A7110B54488}" name="Film_Title" dataDxfId="18"/>
    <tableColumn id="3" xr3:uid="{4283E7C3-A646-496B-B577-B83B140907CC}" name="Platform" dataDxfId="17"/>
    <tableColumn id="4" xr3:uid="{F80D08B9-34FA-4230-AEF5-7BC8F50AD5F8}" name="Campaign" dataDxfId="16"/>
    <tableColumn id="5" xr3:uid="{05B9FF06-932F-4CE2-BDD0-4A5B539D6F1D}" name="Audience_Age_Group" dataDxfId="15"/>
    <tableColumn id="6" xr3:uid="{B42B7316-9C84-4373-B9D9-103FAF046B6E}" name="Region" dataDxfId="14"/>
    <tableColumn id="7" xr3:uid="{83BCDDE8-3B60-48C7-A3A6-A422140BDA66}" name="Impressions" dataDxfId="13"/>
    <tableColumn id="8" xr3:uid="{51EC3915-FA54-4188-8EF8-A8818458B315}" name="Clicks" dataDxfId="12"/>
    <tableColumn id="9" xr3:uid="{69AEA911-B869-4ABB-A043-9E95619D5A54}" name="Views" dataDxfId="11"/>
    <tableColumn id="10" xr3:uid="{BA8B980E-9ED8-4422-B790-48F24A70E057}" name="Watch_Time_Minutes" dataDxfId="10"/>
    <tableColumn id="11" xr3:uid="{8403CB4B-5165-41F5-BA49-3FCEF009DE5C}" name="Likes" dataDxfId="9"/>
    <tableColumn id="12" xr3:uid="{CE049D14-4F79-4725-912B-C47AA3CDD10C}" name="Shares" dataDxfId="8"/>
    <tableColumn id="13" xr3:uid="{9011D0A8-F74B-4192-9DC4-FC957C740783}" name="Comments" dataDxfId="7"/>
    <tableColumn id="14" xr3:uid="{FC9944DF-1D34-4AC5-9D2E-F780509207C1}" name="Email_Signups" dataDxfId="6"/>
    <tableColumn id="15" xr3:uid="{F26F51AE-8346-41EA-97A6-2AD04DD4990B}" name="Subscriptions" dataDxfId="5"/>
    <tableColumn id="16" xr3:uid="{3740C01E-1DD8-4728-8F40-FE8FD3591B14}" name="Ad_Spend" dataDxfId="4"/>
    <tableColumn id="17" xr3:uid="{3D4C2561-4263-4F8D-A6D5-8706F94CCAA3}" name="CTR" dataDxfId="3">
      <calculatedColumnFormula>H2/G2</calculatedColumnFormula>
    </tableColumn>
    <tableColumn id="18" xr3:uid="{A6E29E7C-2578-4390-AA5B-4BEDF7D01334}" name="Engagement" dataDxfId="2">
      <calculatedColumnFormula>K2+L2+M2</calculatedColumnFormula>
    </tableColumn>
    <tableColumn id="19" xr3:uid="{ECA63E8B-345D-4B3F-A7D7-80CD1B077DD7}" name="Engagement_Rate" dataDxfId="1">
      <calculatedColumnFormula>(K2+L2+M2)/G2</calculatedColumnFormula>
    </tableColumn>
    <tableColumn id="20" xr3:uid="{AAEBDEE7-BB96-4361-B1DB-225C059DA74B}" name="Conversion_Rate" dataDxfId="0">
      <calculatedColumnFormula>O2/I2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selection activeCell="B9" sqref="B9"/>
    </sheetView>
  </sheetViews>
  <sheetFormatPr defaultRowHeight="15"/>
  <cols>
    <col min="1" max="1" width="13.140625" customWidth="1"/>
    <col min="2" max="2" width="14.5703125" customWidth="1"/>
    <col min="3" max="3" width="11.28515625" bestFit="1" customWidth="1"/>
    <col min="4" max="4" width="17.140625" bestFit="1" customWidth="1"/>
    <col min="5" max="5" width="23.140625" bestFit="1" customWidth="1"/>
    <col min="6" max="6" width="11.140625" customWidth="1"/>
    <col min="7" max="7" width="14.140625" bestFit="1" customWidth="1"/>
    <col min="10" max="10" width="23.42578125" bestFit="1" customWidth="1"/>
    <col min="12" max="12" width="9.28515625" bestFit="1" customWidth="1"/>
    <col min="13" max="13" width="13" bestFit="1" customWidth="1"/>
    <col min="14" max="14" width="16.42578125" bestFit="1" customWidth="1"/>
    <col min="15" max="15" width="15.28515625" bestFit="1" customWidth="1"/>
    <col min="16" max="16" width="12.42578125" bestFit="1" customWidth="1"/>
    <col min="17" max="17" width="9.28515625" style="1" bestFit="1" customWidth="1"/>
    <col min="18" max="18" width="14.5703125" bestFit="1" customWidth="1"/>
    <col min="19" max="19" width="20" bestFit="1" customWidth="1"/>
    <col min="20" max="20" width="18.7109375" style="1" bestFit="1" customWidth="1"/>
  </cols>
  <sheetData>
    <row r="1" spans="1:2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1" t="s">
        <v>17</v>
      </c>
      <c r="S1" s="11" t="s">
        <v>18</v>
      </c>
      <c r="T1" s="12" t="s">
        <v>19</v>
      </c>
    </row>
    <row r="2" spans="1:20">
      <c r="A2" s="7">
        <v>46082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>
        <v>7019</v>
      </c>
      <c r="H2" s="3">
        <v>960</v>
      </c>
      <c r="I2" s="3">
        <v>492</v>
      </c>
      <c r="J2" s="3">
        <v>2460</v>
      </c>
      <c r="K2" s="3">
        <v>138</v>
      </c>
      <c r="L2" s="3">
        <v>23</v>
      </c>
      <c r="M2" s="3">
        <v>15</v>
      </c>
      <c r="N2" s="3">
        <v>11</v>
      </c>
      <c r="O2" s="3">
        <v>40</v>
      </c>
      <c r="P2" s="3">
        <v>219</v>
      </c>
      <c r="Q2" s="4">
        <f>H2/G2</f>
        <v>0.13677161988887307</v>
      </c>
      <c r="R2" s="3">
        <f>K2+L2+M2</f>
        <v>176</v>
      </c>
      <c r="S2" s="4">
        <f>(K2+L2+M2)/G2</f>
        <v>2.5074796979626727E-2</v>
      </c>
      <c r="T2" s="4">
        <f>O2/I2</f>
        <v>8.1300813008130079E-2</v>
      </c>
    </row>
    <row r="3" spans="1:20">
      <c r="A3" s="8">
        <v>46083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>
        <v>18382</v>
      </c>
      <c r="H3" s="5">
        <v>402</v>
      </c>
      <c r="I3" s="5">
        <v>684</v>
      </c>
      <c r="J3" s="5">
        <v>2052</v>
      </c>
      <c r="K3" s="5">
        <v>599</v>
      </c>
      <c r="L3" s="5">
        <v>60</v>
      </c>
      <c r="M3" s="5">
        <v>5</v>
      </c>
      <c r="N3" s="5">
        <v>28</v>
      </c>
      <c r="O3" s="5">
        <v>33</v>
      </c>
      <c r="P3" s="5">
        <v>123</v>
      </c>
      <c r="Q3" s="4">
        <f>H3/G3</f>
        <v>2.1869219889021869E-2</v>
      </c>
      <c r="R3" s="3">
        <f>K3+L3+M3</f>
        <v>664</v>
      </c>
      <c r="S3" s="4">
        <f>(K3+L3+M3)/G3</f>
        <v>3.6122293548036123E-2</v>
      </c>
      <c r="T3" s="4">
        <f>O3/I3</f>
        <v>4.8245614035087717E-2</v>
      </c>
    </row>
    <row r="4" spans="1:20">
      <c r="A4" s="7">
        <v>46084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>
        <v>5300</v>
      </c>
      <c r="H4" s="3">
        <v>1127</v>
      </c>
      <c r="I4" s="3">
        <v>550</v>
      </c>
      <c r="J4" s="3">
        <v>2750</v>
      </c>
      <c r="K4" s="3">
        <v>317</v>
      </c>
      <c r="L4" s="3">
        <v>157</v>
      </c>
      <c r="M4" s="3">
        <v>11</v>
      </c>
      <c r="N4" s="3">
        <v>18</v>
      </c>
      <c r="O4" s="3">
        <v>37</v>
      </c>
      <c r="P4" s="3">
        <v>151</v>
      </c>
      <c r="Q4" s="4">
        <f>H4/G4</f>
        <v>0.21264150943396226</v>
      </c>
      <c r="R4" s="3">
        <f>K4+L4+M4</f>
        <v>485</v>
      </c>
      <c r="S4" s="4">
        <f>(K4+L4+M4)/G4</f>
        <v>9.1509433962264145E-2</v>
      </c>
      <c r="T4" s="4">
        <f>O4/I4</f>
        <v>6.7272727272727276E-2</v>
      </c>
    </row>
    <row r="5" spans="1:20">
      <c r="A5" s="8">
        <v>46085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>
        <v>11901</v>
      </c>
      <c r="H5" s="5">
        <v>995</v>
      </c>
      <c r="I5" s="5">
        <v>235</v>
      </c>
      <c r="J5" s="5">
        <v>940</v>
      </c>
      <c r="K5" s="5">
        <v>414</v>
      </c>
      <c r="L5" s="5">
        <v>115</v>
      </c>
      <c r="M5" s="5">
        <v>76</v>
      </c>
      <c r="N5" s="5">
        <v>33</v>
      </c>
      <c r="O5" s="5">
        <v>32</v>
      </c>
      <c r="P5" s="5">
        <v>330</v>
      </c>
      <c r="Q5" s="4">
        <f>H5/G5</f>
        <v>8.3606419628602643E-2</v>
      </c>
      <c r="R5" s="3">
        <f>K5+L5+M5</f>
        <v>605</v>
      </c>
      <c r="S5" s="4">
        <f>(K5+L5+M5)/G5</f>
        <v>5.0836064196286029E-2</v>
      </c>
      <c r="T5" s="4">
        <f>O5/I5</f>
        <v>0.13617021276595745</v>
      </c>
    </row>
    <row r="6" spans="1:20">
      <c r="A6" s="7">
        <v>46086</v>
      </c>
      <c r="B6" s="3" t="s">
        <v>40</v>
      </c>
      <c r="C6" s="3" t="s">
        <v>41</v>
      </c>
      <c r="D6" s="3" t="s">
        <v>42</v>
      </c>
      <c r="E6" s="3" t="s">
        <v>28</v>
      </c>
      <c r="F6" s="3" t="s">
        <v>29</v>
      </c>
      <c r="G6" s="3">
        <v>14770</v>
      </c>
      <c r="H6" s="3">
        <v>830</v>
      </c>
      <c r="I6" s="3">
        <v>444</v>
      </c>
      <c r="J6" s="3">
        <v>1332</v>
      </c>
      <c r="K6" s="3">
        <v>252</v>
      </c>
      <c r="L6" s="3">
        <v>18</v>
      </c>
      <c r="M6" s="3">
        <v>26</v>
      </c>
      <c r="N6" s="3">
        <v>9</v>
      </c>
      <c r="O6" s="3">
        <v>18</v>
      </c>
      <c r="P6" s="3">
        <v>464</v>
      </c>
      <c r="Q6" s="4">
        <f>H6/G6</f>
        <v>5.6194989844278946E-2</v>
      </c>
      <c r="R6" s="3">
        <f>K6+L6+M6</f>
        <v>296</v>
      </c>
      <c r="S6" s="4">
        <f>(K6+L6+M6)/G6</f>
        <v>2.0040622884224781E-2</v>
      </c>
      <c r="T6" s="4">
        <f>O6/I6</f>
        <v>4.0540540540540543E-2</v>
      </c>
    </row>
    <row r="7" spans="1:20">
      <c r="A7" s="8">
        <v>46087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>
        <v>18423</v>
      </c>
      <c r="H7" s="5">
        <v>595</v>
      </c>
      <c r="I7" s="5">
        <v>727</v>
      </c>
      <c r="J7" s="5">
        <v>2181</v>
      </c>
      <c r="K7" s="5">
        <v>107</v>
      </c>
      <c r="L7" s="5">
        <v>70</v>
      </c>
      <c r="M7" s="5">
        <v>40</v>
      </c>
      <c r="N7" s="5">
        <v>23</v>
      </c>
      <c r="O7" s="5">
        <v>11</v>
      </c>
      <c r="P7" s="5">
        <v>295</v>
      </c>
      <c r="Q7" s="4">
        <f>H7/G7</f>
        <v>3.2296585789502251E-2</v>
      </c>
      <c r="R7" s="3">
        <f>K7+L7+M7</f>
        <v>217</v>
      </c>
      <c r="S7" s="4">
        <f>(K7+L7+M7)/G7</f>
        <v>1.1778754817347881E-2</v>
      </c>
      <c r="T7" s="4">
        <f>O7/I7</f>
        <v>1.5130674002751032E-2</v>
      </c>
    </row>
    <row r="8" spans="1:20">
      <c r="A8" s="7">
        <v>46088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>
        <v>6517</v>
      </c>
      <c r="H8" s="3">
        <v>567</v>
      </c>
      <c r="I8" s="3">
        <v>404</v>
      </c>
      <c r="J8" s="3">
        <v>1616</v>
      </c>
      <c r="K8" s="3">
        <v>162</v>
      </c>
      <c r="L8" s="3">
        <v>156</v>
      </c>
      <c r="M8" s="3">
        <v>16</v>
      </c>
      <c r="N8" s="3">
        <v>44</v>
      </c>
      <c r="O8" s="3">
        <v>40</v>
      </c>
      <c r="P8" s="3">
        <v>240</v>
      </c>
      <c r="Q8" s="4">
        <f>H8/G8</f>
        <v>8.7003222341568209E-2</v>
      </c>
      <c r="R8" s="3">
        <f>K8+L8+M8</f>
        <v>334</v>
      </c>
      <c r="S8" s="4">
        <f>(K8+L8+M8)/G8</f>
        <v>5.1250575418137177E-2</v>
      </c>
      <c r="T8" s="4">
        <f>O8/I8</f>
        <v>9.9009900990099015E-2</v>
      </c>
    </row>
    <row r="9" spans="1:20">
      <c r="A9" s="8">
        <v>46089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>
        <v>15875</v>
      </c>
      <c r="H9" s="5">
        <v>1407</v>
      </c>
      <c r="I9" s="5">
        <v>782</v>
      </c>
      <c r="J9" s="5">
        <v>3128</v>
      </c>
      <c r="K9" s="5">
        <v>241</v>
      </c>
      <c r="L9" s="5">
        <v>179</v>
      </c>
      <c r="M9" s="5">
        <v>31</v>
      </c>
      <c r="N9" s="5">
        <v>15</v>
      </c>
      <c r="O9" s="5">
        <v>30</v>
      </c>
      <c r="P9" s="5">
        <v>481</v>
      </c>
      <c r="Q9" s="4">
        <f>H9/G9</f>
        <v>8.8629921259842523E-2</v>
      </c>
      <c r="R9" s="3">
        <f>K9+L9+M9</f>
        <v>451</v>
      </c>
      <c r="S9" s="4">
        <f>(K9+L9+M9)/G9</f>
        <v>2.8409448818897638E-2</v>
      </c>
      <c r="T9" s="4">
        <f>O9/I9</f>
        <v>3.8363171355498722E-2</v>
      </c>
    </row>
    <row r="10" spans="1:20">
      <c r="A10" s="7">
        <v>46090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  <c r="G10" s="3">
        <v>9369</v>
      </c>
      <c r="H10" s="3">
        <v>292</v>
      </c>
      <c r="I10" s="3">
        <v>774</v>
      </c>
      <c r="J10" s="3">
        <v>1548</v>
      </c>
      <c r="K10" s="3">
        <v>180</v>
      </c>
      <c r="L10" s="3">
        <v>62</v>
      </c>
      <c r="M10" s="3">
        <v>21</v>
      </c>
      <c r="N10" s="3">
        <v>46</v>
      </c>
      <c r="O10" s="3">
        <v>2</v>
      </c>
      <c r="P10" s="3">
        <v>154</v>
      </c>
      <c r="Q10" s="4">
        <f>H10/G10</f>
        <v>3.116661329917814E-2</v>
      </c>
      <c r="R10" s="3">
        <f>K10+L10+M10</f>
        <v>263</v>
      </c>
      <c r="S10" s="4">
        <f>(K10+L10+M10)/G10</f>
        <v>2.8071298964670723E-2</v>
      </c>
      <c r="T10" s="4">
        <f>O10/I10</f>
        <v>2.5839793281653748E-3</v>
      </c>
    </row>
    <row r="11" spans="1:20">
      <c r="A11" s="8">
        <v>46091</v>
      </c>
      <c r="B11" s="5" t="s">
        <v>40</v>
      </c>
      <c r="C11" s="5" t="s">
        <v>41</v>
      </c>
      <c r="D11" s="5" t="s">
        <v>42</v>
      </c>
      <c r="E11" s="5" t="s">
        <v>28</v>
      </c>
      <c r="F11" s="5" t="s">
        <v>29</v>
      </c>
      <c r="G11" s="5">
        <v>13355</v>
      </c>
      <c r="H11" s="5">
        <v>215</v>
      </c>
      <c r="I11" s="5">
        <v>625</v>
      </c>
      <c r="J11" s="5">
        <v>1250</v>
      </c>
      <c r="K11" s="5">
        <v>529</v>
      </c>
      <c r="L11" s="5">
        <v>195</v>
      </c>
      <c r="M11" s="5">
        <v>79</v>
      </c>
      <c r="N11" s="5">
        <v>10</v>
      </c>
      <c r="O11" s="5">
        <v>39</v>
      </c>
      <c r="P11" s="5">
        <v>139</v>
      </c>
      <c r="Q11" s="4">
        <f>H11/G11</f>
        <v>1.6098839385997755E-2</v>
      </c>
      <c r="R11" s="3">
        <f>K11+L11+M11</f>
        <v>803</v>
      </c>
      <c r="S11" s="4">
        <f>(K11+L11+M11)/G11</f>
        <v>6.0127293148633472E-2</v>
      </c>
      <c r="T11" s="4">
        <f>O11/I11</f>
        <v>6.2399999999999997E-2</v>
      </c>
    </row>
    <row r="12" spans="1:20">
      <c r="A12" s="7">
        <v>46092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>
        <v>8970</v>
      </c>
      <c r="H12" s="3">
        <v>619</v>
      </c>
      <c r="I12" s="3">
        <v>144</v>
      </c>
      <c r="J12" s="3">
        <v>576</v>
      </c>
      <c r="K12" s="3">
        <v>112</v>
      </c>
      <c r="L12" s="3">
        <v>166</v>
      </c>
      <c r="M12" s="3">
        <v>9</v>
      </c>
      <c r="N12" s="3">
        <v>23</v>
      </c>
      <c r="O12" s="3">
        <v>11</v>
      </c>
      <c r="P12" s="3">
        <v>166</v>
      </c>
      <c r="Q12" s="4">
        <f>H12/G12</f>
        <v>6.9007803790412492E-2</v>
      </c>
      <c r="R12" s="3">
        <f>K12+L12+M12</f>
        <v>287</v>
      </c>
      <c r="S12" s="4">
        <f>(K12+L12+M12)/G12</f>
        <v>3.1995540691192863E-2</v>
      </c>
      <c r="T12" s="4">
        <f>O12/I12</f>
        <v>7.6388888888888895E-2</v>
      </c>
    </row>
    <row r="13" spans="1:20">
      <c r="A13" s="8">
        <v>46093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6850</v>
      </c>
      <c r="H13" s="5">
        <v>589</v>
      </c>
      <c r="I13" s="5">
        <v>638</v>
      </c>
      <c r="J13" s="5">
        <v>1914</v>
      </c>
      <c r="K13" s="5">
        <v>520</v>
      </c>
      <c r="L13" s="5">
        <v>166</v>
      </c>
      <c r="M13" s="5">
        <v>60</v>
      </c>
      <c r="N13" s="5">
        <v>43</v>
      </c>
      <c r="O13" s="5">
        <v>31</v>
      </c>
      <c r="P13" s="5">
        <v>116</v>
      </c>
      <c r="Q13" s="4">
        <f>H13/G13</f>
        <v>8.5985401459854019E-2</v>
      </c>
      <c r="R13" s="3">
        <f>K13+L13+M13</f>
        <v>746</v>
      </c>
      <c r="S13" s="4">
        <f>(K13+L13+M13)/G13</f>
        <v>0.10890510948905109</v>
      </c>
      <c r="T13" s="4">
        <f>O13/I13</f>
        <v>4.8589341692789965E-2</v>
      </c>
    </row>
    <row r="14" spans="1:20">
      <c r="A14" s="7">
        <v>46094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>
        <v>18907</v>
      </c>
      <c r="H14" s="3">
        <v>1227</v>
      </c>
      <c r="I14" s="3">
        <v>843</v>
      </c>
      <c r="J14" s="3">
        <v>3372</v>
      </c>
      <c r="K14" s="3">
        <v>266</v>
      </c>
      <c r="L14" s="3">
        <v>55</v>
      </c>
      <c r="M14" s="3">
        <v>27</v>
      </c>
      <c r="N14" s="3">
        <v>32</v>
      </c>
      <c r="O14" s="3">
        <v>2</v>
      </c>
      <c r="P14" s="3">
        <v>359</v>
      </c>
      <c r="Q14" s="4">
        <f>H14/G14</f>
        <v>6.4896599143174485E-2</v>
      </c>
      <c r="R14" s="3">
        <f>K14+L14+M14</f>
        <v>348</v>
      </c>
      <c r="S14" s="4">
        <f>(K14+L14+M14)/G14</f>
        <v>1.840588141958005E-2</v>
      </c>
      <c r="T14" s="4">
        <f>O14/I14</f>
        <v>2.3724792408066431E-3</v>
      </c>
    </row>
    <row r="15" spans="1:20">
      <c r="A15" s="8">
        <v>46095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39</v>
      </c>
      <c r="G15" s="5">
        <v>14564</v>
      </c>
      <c r="H15" s="5">
        <v>300</v>
      </c>
      <c r="I15" s="5">
        <v>498</v>
      </c>
      <c r="J15" s="5">
        <v>2490</v>
      </c>
      <c r="K15" s="5">
        <v>301</v>
      </c>
      <c r="L15" s="5">
        <v>140</v>
      </c>
      <c r="M15" s="5">
        <v>87</v>
      </c>
      <c r="N15" s="5">
        <v>41</v>
      </c>
      <c r="O15" s="5">
        <v>22</v>
      </c>
      <c r="P15" s="5">
        <v>364</v>
      </c>
      <c r="Q15" s="4">
        <f>H15/G15</f>
        <v>2.0598736610821202E-2</v>
      </c>
      <c r="R15" s="3">
        <f>K15+L15+M15</f>
        <v>528</v>
      </c>
      <c r="S15" s="4">
        <f>(K15+L15+M15)/G15</f>
        <v>3.6253776435045321E-2</v>
      </c>
      <c r="T15" s="4">
        <f>O15/I15</f>
        <v>4.4176706827309238E-2</v>
      </c>
    </row>
    <row r="16" spans="1:20">
      <c r="A16" s="7">
        <v>46096</v>
      </c>
      <c r="B16" s="3" t="s">
        <v>40</v>
      </c>
      <c r="C16" s="3" t="s">
        <v>41</v>
      </c>
      <c r="D16" s="3" t="s">
        <v>42</v>
      </c>
      <c r="E16" s="3" t="s">
        <v>28</v>
      </c>
      <c r="F16" s="3" t="s">
        <v>29</v>
      </c>
      <c r="G16" s="3">
        <v>19963</v>
      </c>
      <c r="H16" s="3">
        <v>1011</v>
      </c>
      <c r="I16" s="3">
        <v>140</v>
      </c>
      <c r="J16" s="3">
        <v>560</v>
      </c>
      <c r="K16" s="3">
        <v>364</v>
      </c>
      <c r="L16" s="3">
        <v>126</v>
      </c>
      <c r="M16" s="3">
        <v>79</v>
      </c>
      <c r="N16" s="3">
        <v>9</v>
      </c>
      <c r="O16" s="3">
        <v>31</v>
      </c>
      <c r="P16" s="3">
        <v>288</v>
      </c>
      <c r="Q16" s="4">
        <f>H16/G16</f>
        <v>5.0643690828031857E-2</v>
      </c>
      <c r="R16" s="3">
        <f>K16+L16+M16</f>
        <v>569</v>
      </c>
      <c r="S16" s="4">
        <f>(K16+L16+M16)/G16</f>
        <v>2.8502730050593599E-2</v>
      </c>
      <c r="T16" s="4">
        <f>O16/I16</f>
        <v>0.22142857142857142</v>
      </c>
    </row>
    <row r="17" spans="1:20">
      <c r="A17" s="8">
        <v>46097</v>
      </c>
      <c r="B17" s="5" t="s">
        <v>20</v>
      </c>
      <c r="C17" s="5" t="s">
        <v>21</v>
      </c>
      <c r="D17" s="5" t="s">
        <v>22</v>
      </c>
      <c r="E17" s="5" t="s">
        <v>23</v>
      </c>
      <c r="F17" s="5" t="s">
        <v>24</v>
      </c>
      <c r="G17" s="5">
        <v>7580</v>
      </c>
      <c r="H17" s="5">
        <v>292</v>
      </c>
      <c r="I17" s="5">
        <v>185</v>
      </c>
      <c r="J17" s="5">
        <v>740</v>
      </c>
      <c r="K17" s="5">
        <v>364</v>
      </c>
      <c r="L17" s="5">
        <v>70</v>
      </c>
      <c r="M17" s="5">
        <v>11</v>
      </c>
      <c r="N17" s="5">
        <v>12</v>
      </c>
      <c r="O17" s="5">
        <v>33</v>
      </c>
      <c r="P17" s="5">
        <v>162</v>
      </c>
      <c r="Q17" s="4">
        <f>H17/G17</f>
        <v>3.8522427440633243E-2</v>
      </c>
      <c r="R17" s="3">
        <f>K17+L17+M17</f>
        <v>445</v>
      </c>
      <c r="S17" s="4">
        <f>(K17+L17+M17)/G17</f>
        <v>5.8707124010554092E-2</v>
      </c>
      <c r="T17" s="4">
        <f>O17/I17</f>
        <v>0.17837837837837839</v>
      </c>
    </row>
    <row r="18" spans="1:20">
      <c r="A18" s="7">
        <v>46098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>
        <v>6414</v>
      </c>
      <c r="H18" s="3">
        <v>717</v>
      </c>
      <c r="I18" s="3">
        <v>115</v>
      </c>
      <c r="J18" s="3">
        <v>345</v>
      </c>
      <c r="K18" s="3">
        <v>572</v>
      </c>
      <c r="L18" s="3">
        <v>143</v>
      </c>
      <c r="M18" s="3">
        <v>26</v>
      </c>
      <c r="N18" s="3">
        <v>50</v>
      </c>
      <c r="O18" s="3">
        <v>26</v>
      </c>
      <c r="P18" s="3">
        <v>319</v>
      </c>
      <c r="Q18" s="4">
        <f>H18/G18</f>
        <v>0.11178671655753041</v>
      </c>
      <c r="R18" s="3">
        <f>K18+L18+M18</f>
        <v>741</v>
      </c>
      <c r="S18" s="4">
        <f>(K18+L18+M18)/G18</f>
        <v>0.11552853133769879</v>
      </c>
      <c r="T18" s="4">
        <f>O18/I18</f>
        <v>0.22608695652173913</v>
      </c>
    </row>
    <row r="19" spans="1:20">
      <c r="A19" s="8">
        <v>46099</v>
      </c>
      <c r="B19" s="5" t="s">
        <v>30</v>
      </c>
      <c r="C19" s="5" t="s">
        <v>31</v>
      </c>
      <c r="D19" s="5" t="s">
        <v>32</v>
      </c>
      <c r="E19" s="5" t="s">
        <v>33</v>
      </c>
      <c r="F19" s="5" t="s">
        <v>34</v>
      </c>
      <c r="G19" s="5">
        <v>17194</v>
      </c>
      <c r="H19" s="5">
        <v>788</v>
      </c>
      <c r="I19" s="5">
        <v>499</v>
      </c>
      <c r="J19" s="5">
        <v>998</v>
      </c>
      <c r="K19" s="5">
        <v>310</v>
      </c>
      <c r="L19" s="5">
        <v>151</v>
      </c>
      <c r="M19" s="5">
        <v>83</v>
      </c>
      <c r="N19" s="5">
        <v>49</v>
      </c>
      <c r="O19" s="5">
        <v>15</v>
      </c>
      <c r="P19" s="5">
        <v>381</v>
      </c>
      <c r="Q19" s="4">
        <f>H19/G19</f>
        <v>4.5829940676980339E-2</v>
      </c>
      <c r="R19" s="3">
        <f>K19+L19+M19</f>
        <v>544</v>
      </c>
      <c r="S19" s="4">
        <f>(K19+L19+M19)/G19</f>
        <v>3.1638943817610794E-2</v>
      </c>
      <c r="T19" s="4">
        <f>O19/I19</f>
        <v>3.0060120240480961E-2</v>
      </c>
    </row>
    <row r="20" spans="1:20">
      <c r="A20" s="7">
        <v>46100</v>
      </c>
      <c r="B20" s="3" t="s">
        <v>35</v>
      </c>
      <c r="C20" s="3" t="s">
        <v>36</v>
      </c>
      <c r="D20" s="3" t="s">
        <v>37</v>
      </c>
      <c r="E20" s="3" t="s">
        <v>38</v>
      </c>
      <c r="F20" s="3" t="s">
        <v>39</v>
      </c>
      <c r="G20" s="3">
        <v>18957</v>
      </c>
      <c r="H20" s="3">
        <v>552</v>
      </c>
      <c r="I20" s="3">
        <v>845</v>
      </c>
      <c r="J20" s="3">
        <v>2535</v>
      </c>
      <c r="K20" s="3">
        <v>326</v>
      </c>
      <c r="L20" s="3">
        <v>85</v>
      </c>
      <c r="M20" s="3">
        <v>43</v>
      </c>
      <c r="N20" s="3">
        <v>7</v>
      </c>
      <c r="O20" s="3">
        <v>18</v>
      </c>
      <c r="P20" s="3">
        <v>249</v>
      </c>
      <c r="Q20" s="4">
        <f>H20/G20</f>
        <v>2.9118531413198291E-2</v>
      </c>
      <c r="R20" s="3">
        <f>K20+L20+M20</f>
        <v>454</v>
      </c>
      <c r="S20" s="4">
        <f>(K20+L20+M20)/G20</f>
        <v>2.3948937068101493E-2</v>
      </c>
      <c r="T20" s="4">
        <f>O20/I20</f>
        <v>2.1301775147928994E-2</v>
      </c>
    </row>
    <row r="21" spans="1:20">
      <c r="A21" s="8">
        <v>46101</v>
      </c>
      <c r="B21" s="5" t="s">
        <v>40</v>
      </c>
      <c r="C21" s="5" t="s">
        <v>41</v>
      </c>
      <c r="D21" s="5" t="s">
        <v>42</v>
      </c>
      <c r="E21" s="5" t="s">
        <v>28</v>
      </c>
      <c r="F21" s="5" t="s">
        <v>29</v>
      </c>
      <c r="G21" s="5">
        <v>8435</v>
      </c>
      <c r="H21" s="5">
        <v>1146</v>
      </c>
      <c r="I21" s="5">
        <v>403</v>
      </c>
      <c r="J21" s="5">
        <v>1209</v>
      </c>
      <c r="K21" s="5">
        <v>116</v>
      </c>
      <c r="L21" s="5">
        <v>185</v>
      </c>
      <c r="M21" s="5">
        <v>79</v>
      </c>
      <c r="N21" s="5">
        <v>16</v>
      </c>
      <c r="O21" s="5">
        <v>9</v>
      </c>
      <c r="P21" s="5">
        <v>113</v>
      </c>
      <c r="Q21" s="4">
        <f>H21/G21</f>
        <v>0.13586247777119145</v>
      </c>
      <c r="R21" s="3">
        <f>K21+L21+M21</f>
        <v>380</v>
      </c>
      <c r="S21" s="4">
        <f>(K21+L21+M21)/G21</f>
        <v>4.5050385299347954E-2</v>
      </c>
      <c r="T21" s="4">
        <f>O21/I21</f>
        <v>2.2332506203473945E-2</v>
      </c>
    </row>
    <row r="22" spans="1:20">
      <c r="A22" s="7">
        <v>46102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>
        <v>6970</v>
      </c>
      <c r="H22" s="3">
        <v>1279</v>
      </c>
      <c r="I22" s="3">
        <v>523</v>
      </c>
      <c r="J22" s="3">
        <v>1569</v>
      </c>
      <c r="K22" s="3">
        <v>401</v>
      </c>
      <c r="L22" s="3">
        <v>111</v>
      </c>
      <c r="M22" s="3">
        <v>90</v>
      </c>
      <c r="N22" s="3">
        <v>20</v>
      </c>
      <c r="O22" s="3">
        <v>34</v>
      </c>
      <c r="P22" s="3">
        <v>473</v>
      </c>
      <c r="Q22" s="4">
        <f>H22/G22</f>
        <v>0.18350071736011478</v>
      </c>
      <c r="R22" s="3">
        <f>K22+L22+M22</f>
        <v>602</v>
      </c>
      <c r="S22" s="4">
        <f>(K22+L22+M22)/G22</f>
        <v>8.6370157819225246E-2</v>
      </c>
      <c r="T22" s="4">
        <f>O22/I22</f>
        <v>6.5009560229445512E-2</v>
      </c>
    </row>
    <row r="23" spans="1:20">
      <c r="A23" s="8">
        <v>46103</v>
      </c>
      <c r="B23" s="5" t="s">
        <v>25</v>
      </c>
      <c r="C23" s="5" t="s">
        <v>26</v>
      </c>
      <c r="D23" s="5" t="s">
        <v>27</v>
      </c>
      <c r="E23" s="5" t="s">
        <v>28</v>
      </c>
      <c r="F23" s="5" t="s">
        <v>29</v>
      </c>
      <c r="G23" s="5">
        <v>6483</v>
      </c>
      <c r="H23" s="5">
        <v>1193</v>
      </c>
      <c r="I23" s="5">
        <v>893</v>
      </c>
      <c r="J23" s="5">
        <v>3572</v>
      </c>
      <c r="K23" s="5">
        <v>395</v>
      </c>
      <c r="L23" s="5">
        <v>175</v>
      </c>
      <c r="M23" s="5">
        <v>57</v>
      </c>
      <c r="N23" s="5">
        <v>5</v>
      </c>
      <c r="O23" s="5">
        <v>38</v>
      </c>
      <c r="P23" s="5">
        <v>301</v>
      </c>
      <c r="Q23" s="4">
        <f>H23/G23</f>
        <v>0.18401974394570414</v>
      </c>
      <c r="R23" s="3">
        <f>K23+L23+M23</f>
        <v>627</v>
      </c>
      <c r="S23" s="4">
        <f>(K23+L23+M23)/G23</f>
        <v>9.6714484035168899E-2</v>
      </c>
      <c r="T23" s="4">
        <f>O23/I23</f>
        <v>4.2553191489361701E-2</v>
      </c>
    </row>
    <row r="24" spans="1:20">
      <c r="A24" s="7">
        <v>46104</v>
      </c>
      <c r="B24" s="3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>
        <v>12557</v>
      </c>
      <c r="H24" s="3">
        <v>1075</v>
      </c>
      <c r="I24" s="3">
        <v>126</v>
      </c>
      <c r="J24" s="3">
        <v>630</v>
      </c>
      <c r="K24" s="3">
        <v>242</v>
      </c>
      <c r="L24" s="3">
        <v>102</v>
      </c>
      <c r="M24" s="3">
        <v>41</v>
      </c>
      <c r="N24" s="3">
        <v>49</v>
      </c>
      <c r="O24" s="3">
        <v>20</v>
      </c>
      <c r="P24" s="3">
        <v>386</v>
      </c>
      <c r="Q24" s="4">
        <f>H24/G24</f>
        <v>8.5609620132197181E-2</v>
      </c>
      <c r="R24" s="3">
        <f>K24+L24+M24</f>
        <v>385</v>
      </c>
      <c r="S24" s="4">
        <f>(K24+L24+M24)/G24</f>
        <v>3.0660189535717131E-2</v>
      </c>
      <c r="T24" s="4">
        <f>O24/I24</f>
        <v>0.15873015873015872</v>
      </c>
    </row>
    <row r="25" spans="1:20">
      <c r="A25" s="8">
        <v>46105</v>
      </c>
      <c r="B25" s="5" t="s">
        <v>35</v>
      </c>
      <c r="C25" s="5" t="s">
        <v>36</v>
      </c>
      <c r="D25" s="5" t="s">
        <v>37</v>
      </c>
      <c r="E25" s="5" t="s">
        <v>38</v>
      </c>
      <c r="F25" s="5" t="s">
        <v>39</v>
      </c>
      <c r="G25" s="5">
        <v>10306</v>
      </c>
      <c r="H25" s="5">
        <v>741</v>
      </c>
      <c r="I25" s="5">
        <v>123</v>
      </c>
      <c r="J25" s="5">
        <v>246</v>
      </c>
      <c r="K25" s="5">
        <v>516</v>
      </c>
      <c r="L25" s="5">
        <v>87</v>
      </c>
      <c r="M25" s="5">
        <v>34</v>
      </c>
      <c r="N25" s="5">
        <v>45</v>
      </c>
      <c r="O25" s="5">
        <v>9</v>
      </c>
      <c r="P25" s="5">
        <v>269</v>
      </c>
      <c r="Q25" s="4">
        <f>H25/G25</f>
        <v>7.1899864156801857E-2</v>
      </c>
      <c r="R25" s="3">
        <f>K25+L25+M25</f>
        <v>637</v>
      </c>
      <c r="S25" s="4">
        <f>(K25+L25+M25)/G25</f>
        <v>6.1808655152338444E-2</v>
      </c>
      <c r="T25" s="4">
        <f>O25/I25</f>
        <v>7.3170731707317069E-2</v>
      </c>
    </row>
    <row r="26" spans="1:20">
      <c r="A26" s="7">
        <v>46106</v>
      </c>
      <c r="B26" s="3" t="s">
        <v>40</v>
      </c>
      <c r="C26" s="3" t="s">
        <v>41</v>
      </c>
      <c r="D26" s="3" t="s">
        <v>42</v>
      </c>
      <c r="E26" s="3" t="s">
        <v>28</v>
      </c>
      <c r="F26" s="3" t="s">
        <v>29</v>
      </c>
      <c r="G26" s="3">
        <v>15424</v>
      </c>
      <c r="H26" s="3">
        <v>248</v>
      </c>
      <c r="I26" s="3">
        <v>896</v>
      </c>
      <c r="J26" s="3">
        <v>3584</v>
      </c>
      <c r="K26" s="3">
        <v>414</v>
      </c>
      <c r="L26" s="3">
        <v>14</v>
      </c>
      <c r="M26" s="3">
        <v>96</v>
      </c>
      <c r="N26" s="3">
        <v>34</v>
      </c>
      <c r="O26" s="3">
        <v>12</v>
      </c>
      <c r="P26" s="3">
        <v>112</v>
      </c>
      <c r="Q26" s="4">
        <f>H26/G26</f>
        <v>1.6078838174273857E-2</v>
      </c>
      <c r="R26" s="3">
        <f>K26+L26+M26</f>
        <v>524</v>
      </c>
      <c r="S26" s="4">
        <f>(K26+L26+M26)/G26</f>
        <v>3.3973029045643151E-2</v>
      </c>
      <c r="T26" s="4">
        <f>O26/I26</f>
        <v>1.3392857142857142E-2</v>
      </c>
    </row>
    <row r="27" spans="1:20">
      <c r="A27" s="8">
        <v>46107</v>
      </c>
      <c r="B27" s="5" t="s">
        <v>20</v>
      </c>
      <c r="C27" s="5" t="s">
        <v>21</v>
      </c>
      <c r="D27" s="5" t="s">
        <v>22</v>
      </c>
      <c r="E27" s="5" t="s">
        <v>23</v>
      </c>
      <c r="F27" s="5" t="s">
        <v>24</v>
      </c>
      <c r="G27" s="5">
        <v>16579</v>
      </c>
      <c r="H27" s="5">
        <v>963</v>
      </c>
      <c r="I27" s="5">
        <v>822</v>
      </c>
      <c r="J27" s="5">
        <v>1644</v>
      </c>
      <c r="K27" s="5">
        <v>558</v>
      </c>
      <c r="L27" s="5">
        <v>181</v>
      </c>
      <c r="M27" s="5">
        <v>7</v>
      </c>
      <c r="N27" s="5">
        <v>37</v>
      </c>
      <c r="O27" s="5">
        <v>30</v>
      </c>
      <c r="P27" s="5">
        <v>456</v>
      </c>
      <c r="Q27" s="4">
        <f>H27/G27</f>
        <v>5.8085529887206708E-2</v>
      </c>
      <c r="R27" s="3">
        <f>K27+L27+M27</f>
        <v>746</v>
      </c>
      <c r="S27" s="4">
        <f>(K27+L27+M27)/G27</f>
        <v>4.4996682550214127E-2</v>
      </c>
      <c r="T27" s="4">
        <f>O27/I27</f>
        <v>3.6496350364963501E-2</v>
      </c>
    </row>
    <row r="28" spans="1:20">
      <c r="A28" s="7">
        <v>46108</v>
      </c>
      <c r="B28" s="3" t="s">
        <v>25</v>
      </c>
      <c r="C28" s="3" t="s">
        <v>26</v>
      </c>
      <c r="D28" s="3" t="s">
        <v>27</v>
      </c>
      <c r="E28" s="3" t="s">
        <v>28</v>
      </c>
      <c r="F28" s="3" t="s">
        <v>29</v>
      </c>
      <c r="G28" s="3">
        <v>16265</v>
      </c>
      <c r="H28" s="3">
        <v>1239</v>
      </c>
      <c r="I28" s="3">
        <v>354</v>
      </c>
      <c r="J28" s="3">
        <v>1062</v>
      </c>
      <c r="K28" s="3">
        <v>572</v>
      </c>
      <c r="L28" s="3">
        <v>102</v>
      </c>
      <c r="M28" s="3">
        <v>24</v>
      </c>
      <c r="N28" s="3">
        <v>40</v>
      </c>
      <c r="O28" s="3">
        <v>11</v>
      </c>
      <c r="P28" s="3">
        <v>225</v>
      </c>
      <c r="Q28" s="4">
        <f>H28/G28</f>
        <v>7.6175837688287729E-2</v>
      </c>
      <c r="R28" s="3">
        <f>K28+L28+M28</f>
        <v>698</v>
      </c>
      <c r="S28" s="4">
        <f>(K28+L28+M28)/G28</f>
        <v>4.2914233015677837E-2</v>
      </c>
      <c r="T28" s="4">
        <f>O28/I28</f>
        <v>3.1073446327683617E-2</v>
      </c>
    </row>
    <row r="29" spans="1:20">
      <c r="A29" s="8">
        <v>46109</v>
      </c>
      <c r="B29" s="5" t="s">
        <v>30</v>
      </c>
      <c r="C29" s="5" t="s">
        <v>31</v>
      </c>
      <c r="D29" s="5" t="s">
        <v>32</v>
      </c>
      <c r="E29" s="5" t="s">
        <v>33</v>
      </c>
      <c r="F29" s="5" t="s">
        <v>34</v>
      </c>
      <c r="G29" s="5">
        <v>8108</v>
      </c>
      <c r="H29" s="5">
        <v>984</v>
      </c>
      <c r="I29" s="5">
        <v>866</v>
      </c>
      <c r="J29" s="5">
        <v>4330</v>
      </c>
      <c r="K29" s="5">
        <v>167</v>
      </c>
      <c r="L29" s="5">
        <v>189</v>
      </c>
      <c r="M29" s="5">
        <v>73</v>
      </c>
      <c r="N29" s="5">
        <v>48</v>
      </c>
      <c r="O29" s="5">
        <v>16</v>
      </c>
      <c r="P29" s="5">
        <v>186</v>
      </c>
      <c r="Q29" s="4">
        <f>H29/G29</f>
        <v>0.12136161815490873</v>
      </c>
      <c r="R29" s="3">
        <f>K29+L29+M29</f>
        <v>429</v>
      </c>
      <c r="S29" s="4">
        <f>(K29+L29+M29)/G29</f>
        <v>5.2910705476073017E-2</v>
      </c>
      <c r="T29" s="4">
        <f>O29/I29</f>
        <v>1.8475750577367205E-2</v>
      </c>
    </row>
    <row r="30" spans="1:20">
      <c r="A30" s="7">
        <v>46110</v>
      </c>
      <c r="B30" s="3" t="s">
        <v>35</v>
      </c>
      <c r="C30" s="3" t="s">
        <v>36</v>
      </c>
      <c r="D30" s="3" t="s">
        <v>37</v>
      </c>
      <c r="E30" s="3" t="s">
        <v>38</v>
      </c>
      <c r="F30" s="3" t="s">
        <v>39</v>
      </c>
      <c r="G30" s="3">
        <v>17348</v>
      </c>
      <c r="H30" s="3">
        <v>749</v>
      </c>
      <c r="I30" s="3">
        <v>923</v>
      </c>
      <c r="J30" s="3">
        <v>3692</v>
      </c>
      <c r="K30" s="3">
        <v>565</v>
      </c>
      <c r="L30" s="3">
        <v>20</v>
      </c>
      <c r="M30" s="3">
        <v>35</v>
      </c>
      <c r="N30" s="3">
        <v>44</v>
      </c>
      <c r="O30" s="3">
        <v>9</v>
      </c>
      <c r="P30" s="3">
        <v>392</v>
      </c>
      <c r="Q30" s="4">
        <f>H30/G30</f>
        <v>4.3175005764353243E-2</v>
      </c>
      <c r="R30" s="3">
        <f>K30+L30+M30</f>
        <v>620</v>
      </c>
      <c r="S30" s="4">
        <f>(K30+L30+M30)/G30</f>
        <v>3.5738990085312429E-2</v>
      </c>
      <c r="T30" s="4">
        <f>O30/I30</f>
        <v>9.7508125677139759E-3</v>
      </c>
    </row>
    <row r="31" spans="1:20">
      <c r="A31" s="8">
        <v>46111</v>
      </c>
      <c r="B31" s="5" t="s">
        <v>40</v>
      </c>
      <c r="C31" s="5" t="s">
        <v>41</v>
      </c>
      <c r="D31" s="5" t="s">
        <v>42</v>
      </c>
      <c r="E31" s="5" t="s">
        <v>28</v>
      </c>
      <c r="F31" s="5" t="s">
        <v>29</v>
      </c>
      <c r="G31" s="5">
        <v>8077</v>
      </c>
      <c r="H31" s="5">
        <v>617</v>
      </c>
      <c r="I31" s="5">
        <v>510</v>
      </c>
      <c r="J31" s="5">
        <v>2040</v>
      </c>
      <c r="K31" s="5">
        <v>241</v>
      </c>
      <c r="L31" s="5">
        <v>54</v>
      </c>
      <c r="M31" s="5">
        <v>40</v>
      </c>
      <c r="N31" s="5">
        <v>32</v>
      </c>
      <c r="O31" s="5">
        <v>9</v>
      </c>
      <c r="P31" s="5">
        <v>436</v>
      </c>
      <c r="Q31" s="4">
        <f>H31/G31</f>
        <v>7.6389748669060301E-2</v>
      </c>
      <c r="R31" s="3">
        <f>K31+L31+M31</f>
        <v>335</v>
      </c>
      <c r="S31" s="4">
        <f>(K31+L31+M31)/G31</f>
        <v>4.1475795468614587E-2</v>
      </c>
      <c r="T31" s="4">
        <f>O31/I31</f>
        <v>1.7647058823529412E-2</v>
      </c>
    </row>
    <row r="32" spans="1:20">
      <c r="A32" s="7">
        <v>46112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>
        <v>17787</v>
      </c>
      <c r="H32" s="3">
        <v>755</v>
      </c>
      <c r="I32" s="3">
        <v>875</v>
      </c>
      <c r="J32" s="3">
        <v>4375</v>
      </c>
      <c r="K32" s="3">
        <v>435</v>
      </c>
      <c r="L32" s="3">
        <v>63</v>
      </c>
      <c r="M32" s="3">
        <v>46</v>
      </c>
      <c r="N32" s="3">
        <v>26</v>
      </c>
      <c r="O32" s="3">
        <v>3</v>
      </c>
      <c r="P32" s="3">
        <v>257</v>
      </c>
      <c r="Q32" s="4">
        <f>H32/G32</f>
        <v>4.2446730758419073E-2</v>
      </c>
      <c r="R32" s="3">
        <f>K32+L32+M32</f>
        <v>544</v>
      </c>
      <c r="S32" s="4">
        <f>(K32+L32+M32)/G32</f>
        <v>3.0584134480238376E-2</v>
      </c>
      <c r="T32" s="4">
        <f>O32/I32</f>
        <v>3.4285714285714284E-3</v>
      </c>
    </row>
    <row r="33" spans="1:20">
      <c r="A33" s="8">
        <v>46113</v>
      </c>
      <c r="B33" s="5" t="s">
        <v>25</v>
      </c>
      <c r="C33" s="5" t="s">
        <v>26</v>
      </c>
      <c r="D33" s="5" t="s">
        <v>27</v>
      </c>
      <c r="E33" s="5" t="s">
        <v>28</v>
      </c>
      <c r="F33" s="5" t="s">
        <v>29</v>
      </c>
      <c r="G33" s="5">
        <v>16160</v>
      </c>
      <c r="H33" s="5">
        <v>727</v>
      </c>
      <c r="I33" s="5">
        <v>386</v>
      </c>
      <c r="J33" s="5">
        <v>772</v>
      </c>
      <c r="K33" s="5">
        <v>88</v>
      </c>
      <c r="L33" s="5">
        <v>107</v>
      </c>
      <c r="M33" s="5">
        <v>97</v>
      </c>
      <c r="N33" s="5">
        <v>40</v>
      </c>
      <c r="O33" s="5">
        <v>23</v>
      </c>
      <c r="P33" s="5">
        <v>489</v>
      </c>
      <c r="Q33" s="4">
        <f>H33/G33</f>
        <v>4.4987623762376236E-2</v>
      </c>
      <c r="R33" s="3">
        <f>K33+L33+M33</f>
        <v>292</v>
      </c>
      <c r="S33" s="4">
        <f>(K33+L33+M33)/G33</f>
        <v>1.8069306930693068E-2</v>
      </c>
      <c r="T33" s="4">
        <f>O33/I33</f>
        <v>5.9585492227979271E-2</v>
      </c>
    </row>
    <row r="34" spans="1:20">
      <c r="A34" s="7">
        <v>46114</v>
      </c>
      <c r="B34" s="3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>
        <v>19801</v>
      </c>
      <c r="H34" s="3">
        <v>1069</v>
      </c>
      <c r="I34" s="3">
        <v>717</v>
      </c>
      <c r="J34" s="3">
        <v>2151</v>
      </c>
      <c r="K34" s="3">
        <v>444</v>
      </c>
      <c r="L34" s="3">
        <v>16</v>
      </c>
      <c r="M34" s="3">
        <v>68</v>
      </c>
      <c r="N34" s="3">
        <v>9</v>
      </c>
      <c r="O34" s="3">
        <v>37</v>
      </c>
      <c r="P34" s="3">
        <v>396</v>
      </c>
      <c r="Q34" s="4">
        <f>H34/G34</f>
        <v>5.3987172365032067E-2</v>
      </c>
      <c r="R34" s="3">
        <f>K34+L34+M34</f>
        <v>528</v>
      </c>
      <c r="S34" s="4">
        <f>(K34+L34+M34)/G34</f>
        <v>2.6665319933336699E-2</v>
      </c>
      <c r="T34" s="4">
        <f>O34/I34</f>
        <v>5.1603905160390519E-2</v>
      </c>
    </row>
    <row r="35" spans="1:20">
      <c r="A35" s="8">
        <v>46115</v>
      </c>
      <c r="B35" s="5" t="s">
        <v>35</v>
      </c>
      <c r="C35" s="5" t="s">
        <v>36</v>
      </c>
      <c r="D35" s="5" t="s">
        <v>37</v>
      </c>
      <c r="E35" s="5" t="s">
        <v>38</v>
      </c>
      <c r="F35" s="5" t="s">
        <v>39</v>
      </c>
      <c r="G35" s="5">
        <v>19656</v>
      </c>
      <c r="H35" s="5">
        <v>309</v>
      </c>
      <c r="I35" s="5">
        <v>416</v>
      </c>
      <c r="J35" s="5">
        <v>1248</v>
      </c>
      <c r="K35" s="5">
        <v>220</v>
      </c>
      <c r="L35" s="5">
        <v>76</v>
      </c>
      <c r="M35" s="5">
        <v>29</v>
      </c>
      <c r="N35" s="5">
        <v>7</v>
      </c>
      <c r="O35" s="5">
        <v>2</v>
      </c>
      <c r="P35" s="5">
        <v>485</v>
      </c>
      <c r="Q35" s="4">
        <f>H35/G35</f>
        <v>1.572039072039072E-2</v>
      </c>
      <c r="R35" s="3">
        <f>K35+L35+M35</f>
        <v>325</v>
      </c>
      <c r="S35" s="4">
        <f>(K35+L35+M35)/G35</f>
        <v>1.6534391534391533E-2</v>
      </c>
      <c r="T35" s="4">
        <f>O35/I35</f>
        <v>4.807692307692308E-3</v>
      </c>
    </row>
    <row r="36" spans="1:20">
      <c r="A36" s="7">
        <v>46116</v>
      </c>
      <c r="B36" s="3" t="s">
        <v>40</v>
      </c>
      <c r="C36" s="3" t="s">
        <v>41</v>
      </c>
      <c r="D36" s="3" t="s">
        <v>42</v>
      </c>
      <c r="E36" s="3" t="s">
        <v>28</v>
      </c>
      <c r="F36" s="3" t="s">
        <v>29</v>
      </c>
      <c r="G36" s="3">
        <v>5023</v>
      </c>
      <c r="H36" s="3">
        <v>415</v>
      </c>
      <c r="I36" s="3">
        <v>449</v>
      </c>
      <c r="J36" s="3">
        <v>1347</v>
      </c>
      <c r="K36" s="3">
        <v>190</v>
      </c>
      <c r="L36" s="3">
        <v>191</v>
      </c>
      <c r="M36" s="3">
        <v>79</v>
      </c>
      <c r="N36" s="3">
        <v>49</v>
      </c>
      <c r="O36" s="3">
        <v>39</v>
      </c>
      <c r="P36" s="3">
        <v>367</v>
      </c>
      <c r="Q36" s="4">
        <f>H36/G36</f>
        <v>8.2619948238104715E-2</v>
      </c>
      <c r="R36" s="3">
        <f>K36+L36+M36</f>
        <v>460</v>
      </c>
      <c r="S36" s="4">
        <f>(K36+L36+M36)/G36</f>
        <v>9.1578737806091978E-2</v>
      </c>
      <c r="T36" s="4">
        <f>O36/I36</f>
        <v>8.6859688195991089E-2</v>
      </c>
    </row>
    <row r="37" spans="1:20">
      <c r="A37" s="8">
        <v>46117</v>
      </c>
      <c r="B37" s="5" t="s">
        <v>20</v>
      </c>
      <c r="C37" s="5" t="s">
        <v>21</v>
      </c>
      <c r="D37" s="5" t="s">
        <v>22</v>
      </c>
      <c r="E37" s="5" t="s">
        <v>23</v>
      </c>
      <c r="F37" s="5" t="s">
        <v>24</v>
      </c>
      <c r="G37" s="5">
        <v>15516</v>
      </c>
      <c r="H37" s="5">
        <v>419</v>
      </c>
      <c r="I37" s="5">
        <v>546</v>
      </c>
      <c r="J37" s="5">
        <v>2730</v>
      </c>
      <c r="K37" s="5">
        <v>163</v>
      </c>
      <c r="L37" s="5">
        <v>158</v>
      </c>
      <c r="M37" s="5">
        <v>31</v>
      </c>
      <c r="N37" s="5">
        <v>16</v>
      </c>
      <c r="O37" s="5">
        <v>36</v>
      </c>
      <c r="P37" s="5">
        <v>265</v>
      </c>
      <c r="Q37" s="4">
        <f>H37/G37</f>
        <v>2.7004382572828049E-2</v>
      </c>
      <c r="R37" s="3">
        <f>K37+L37+M37</f>
        <v>352</v>
      </c>
      <c r="S37" s="4">
        <f>(K37+L37+M37)/G37</f>
        <v>2.2686259345192059E-2</v>
      </c>
      <c r="T37" s="4">
        <f>O37/I37</f>
        <v>6.5934065934065936E-2</v>
      </c>
    </row>
    <row r="38" spans="1:20">
      <c r="A38" s="7">
        <v>46118</v>
      </c>
      <c r="B38" s="3" t="s">
        <v>25</v>
      </c>
      <c r="C38" s="3" t="s">
        <v>26</v>
      </c>
      <c r="D38" s="3" t="s">
        <v>27</v>
      </c>
      <c r="E38" s="3" t="s">
        <v>28</v>
      </c>
      <c r="F38" s="3" t="s">
        <v>29</v>
      </c>
      <c r="G38" s="3">
        <v>7650</v>
      </c>
      <c r="H38" s="3">
        <v>1418</v>
      </c>
      <c r="I38" s="3">
        <v>189</v>
      </c>
      <c r="J38" s="3">
        <v>756</v>
      </c>
      <c r="K38" s="3">
        <v>508</v>
      </c>
      <c r="L38" s="3">
        <v>83</v>
      </c>
      <c r="M38" s="3">
        <v>11</v>
      </c>
      <c r="N38" s="3">
        <v>41</v>
      </c>
      <c r="O38" s="3">
        <v>15</v>
      </c>
      <c r="P38" s="3">
        <v>398</v>
      </c>
      <c r="Q38" s="4">
        <f>H38/G38</f>
        <v>0.18535947712418302</v>
      </c>
      <c r="R38" s="3">
        <f>K38+L38+M38</f>
        <v>602</v>
      </c>
      <c r="S38" s="4">
        <f>(K38+L38+M38)/G38</f>
        <v>7.8692810457516346E-2</v>
      </c>
      <c r="T38" s="4">
        <f>O38/I38</f>
        <v>7.9365079365079361E-2</v>
      </c>
    </row>
    <row r="39" spans="1:20">
      <c r="A39" s="8">
        <v>46119</v>
      </c>
      <c r="B39" s="5" t="s">
        <v>30</v>
      </c>
      <c r="C39" s="5" t="s">
        <v>31</v>
      </c>
      <c r="D39" s="5" t="s">
        <v>32</v>
      </c>
      <c r="E39" s="5" t="s">
        <v>33</v>
      </c>
      <c r="F39" s="5" t="s">
        <v>34</v>
      </c>
      <c r="G39" s="5">
        <v>11283</v>
      </c>
      <c r="H39" s="5">
        <v>844</v>
      </c>
      <c r="I39" s="5">
        <v>716</v>
      </c>
      <c r="J39" s="5">
        <v>1432</v>
      </c>
      <c r="K39" s="5">
        <v>265</v>
      </c>
      <c r="L39" s="5">
        <v>50</v>
      </c>
      <c r="M39" s="5">
        <v>93</v>
      </c>
      <c r="N39" s="5">
        <v>20</v>
      </c>
      <c r="O39" s="5">
        <v>22</v>
      </c>
      <c r="P39" s="5">
        <v>180</v>
      </c>
      <c r="Q39" s="4">
        <f>H39/G39</f>
        <v>7.4802800673579722E-2</v>
      </c>
      <c r="R39" s="3">
        <f>K39+L39+M39</f>
        <v>408</v>
      </c>
      <c r="S39" s="4">
        <f>(K39+L39+M39)/G39</f>
        <v>3.6160595586280243E-2</v>
      </c>
      <c r="T39" s="4">
        <f>O39/I39</f>
        <v>3.0726256983240222E-2</v>
      </c>
    </row>
    <row r="40" spans="1:20">
      <c r="A40" s="7">
        <v>46120</v>
      </c>
      <c r="B40" s="3" t="s">
        <v>35</v>
      </c>
      <c r="C40" s="3" t="s">
        <v>36</v>
      </c>
      <c r="D40" s="3" t="s">
        <v>37</v>
      </c>
      <c r="E40" s="3" t="s">
        <v>38</v>
      </c>
      <c r="F40" s="3" t="s">
        <v>39</v>
      </c>
      <c r="G40" s="3">
        <v>13012</v>
      </c>
      <c r="H40" s="3">
        <v>1168</v>
      </c>
      <c r="I40" s="3">
        <v>476</v>
      </c>
      <c r="J40" s="3">
        <v>952</v>
      </c>
      <c r="K40" s="3">
        <v>377</v>
      </c>
      <c r="L40" s="3">
        <v>110</v>
      </c>
      <c r="M40" s="3">
        <v>83</v>
      </c>
      <c r="N40" s="3">
        <v>48</v>
      </c>
      <c r="O40" s="3">
        <v>30</v>
      </c>
      <c r="P40" s="3">
        <v>111</v>
      </c>
      <c r="Q40" s="4">
        <f>H40/G40</f>
        <v>8.9763295419612671E-2</v>
      </c>
      <c r="R40" s="3">
        <f>K40+L40+M40</f>
        <v>570</v>
      </c>
      <c r="S40" s="4">
        <f>(K40+L40+M40)/G40</f>
        <v>4.3805717798954813E-2</v>
      </c>
      <c r="T40" s="4">
        <f>O40/I40</f>
        <v>6.3025210084033612E-2</v>
      </c>
    </row>
    <row r="41" spans="1:20">
      <c r="A41" s="8">
        <v>46121</v>
      </c>
      <c r="B41" s="5" t="s">
        <v>40</v>
      </c>
      <c r="C41" s="5" t="s">
        <v>41</v>
      </c>
      <c r="D41" s="5" t="s">
        <v>42</v>
      </c>
      <c r="E41" s="5" t="s">
        <v>28</v>
      </c>
      <c r="F41" s="5" t="s">
        <v>29</v>
      </c>
      <c r="G41" s="5">
        <v>11103</v>
      </c>
      <c r="H41" s="5">
        <v>887</v>
      </c>
      <c r="I41" s="5">
        <v>362</v>
      </c>
      <c r="J41" s="5">
        <v>724</v>
      </c>
      <c r="K41" s="5">
        <v>132</v>
      </c>
      <c r="L41" s="5">
        <v>62</v>
      </c>
      <c r="M41" s="5">
        <v>79</v>
      </c>
      <c r="N41" s="5">
        <v>40</v>
      </c>
      <c r="O41" s="5">
        <v>26</v>
      </c>
      <c r="P41" s="5">
        <v>468</v>
      </c>
      <c r="Q41" s="4">
        <f>H41/G41</f>
        <v>7.9888318472484912E-2</v>
      </c>
      <c r="R41" s="3">
        <f>K41+L41+M41</f>
        <v>273</v>
      </c>
      <c r="S41" s="4">
        <f>(K41+L41+M41)/G41</f>
        <v>2.4587949202918132E-2</v>
      </c>
      <c r="T41" s="4">
        <f>O41/I41</f>
        <v>7.18232044198895E-2</v>
      </c>
    </row>
    <row r="42" spans="1:20">
      <c r="A42" s="7">
        <v>46122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>
        <v>10544</v>
      </c>
      <c r="H42" s="3">
        <v>939</v>
      </c>
      <c r="I42" s="3">
        <v>734</v>
      </c>
      <c r="J42" s="3">
        <v>2202</v>
      </c>
      <c r="K42" s="3">
        <v>372</v>
      </c>
      <c r="L42" s="3">
        <v>21</v>
      </c>
      <c r="M42" s="3">
        <v>34</v>
      </c>
      <c r="N42" s="3">
        <v>46</v>
      </c>
      <c r="O42" s="3">
        <v>12</v>
      </c>
      <c r="P42" s="3">
        <v>462</v>
      </c>
      <c r="Q42" s="4">
        <f>H42/G42</f>
        <v>8.9055386949924126E-2</v>
      </c>
      <c r="R42" s="3">
        <f>K42+L42+M42</f>
        <v>427</v>
      </c>
      <c r="S42" s="4">
        <f>(K42+L42+M42)/G42</f>
        <v>4.0496965098634291E-2</v>
      </c>
      <c r="T42" s="4">
        <f>O42/I42</f>
        <v>1.6348773841961851E-2</v>
      </c>
    </row>
    <row r="43" spans="1:20">
      <c r="A43" s="8">
        <v>46123</v>
      </c>
      <c r="B43" s="5" t="s">
        <v>25</v>
      </c>
      <c r="C43" s="5" t="s">
        <v>26</v>
      </c>
      <c r="D43" s="5" t="s">
        <v>27</v>
      </c>
      <c r="E43" s="5" t="s">
        <v>28</v>
      </c>
      <c r="F43" s="5" t="s">
        <v>29</v>
      </c>
      <c r="G43" s="5">
        <v>19663</v>
      </c>
      <c r="H43" s="5">
        <v>1181</v>
      </c>
      <c r="I43" s="5">
        <v>408</v>
      </c>
      <c r="J43" s="5">
        <v>1632</v>
      </c>
      <c r="K43" s="5">
        <v>241</v>
      </c>
      <c r="L43" s="5">
        <v>147</v>
      </c>
      <c r="M43" s="5">
        <v>28</v>
      </c>
      <c r="N43" s="5">
        <v>24</v>
      </c>
      <c r="O43" s="5">
        <v>14</v>
      </c>
      <c r="P43" s="5">
        <v>294</v>
      </c>
      <c r="Q43" s="4">
        <f>H43/G43</f>
        <v>6.0062045466103851E-2</v>
      </c>
      <c r="R43" s="3">
        <f>K43+L43+M43</f>
        <v>416</v>
      </c>
      <c r="S43" s="4">
        <f>(K43+L43+M43)/G43</f>
        <v>2.1156486802624219E-2</v>
      </c>
      <c r="T43" s="4">
        <f>O43/I43</f>
        <v>3.4313725490196081E-2</v>
      </c>
    </row>
    <row r="44" spans="1:20">
      <c r="A44" s="7">
        <v>46124</v>
      </c>
      <c r="B44" s="3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>
        <v>10268</v>
      </c>
      <c r="H44" s="3">
        <v>1135</v>
      </c>
      <c r="I44" s="3">
        <v>437</v>
      </c>
      <c r="J44" s="3">
        <v>874</v>
      </c>
      <c r="K44" s="3">
        <v>170</v>
      </c>
      <c r="L44" s="3">
        <v>110</v>
      </c>
      <c r="M44" s="3">
        <v>58</v>
      </c>
      <c r="N44" s="3">
        <v>47</v>
      </c>
      <c r="O44" s="3">
        <v>15</v>
      </c>
      <c r="P44" s="3">
        <v>359</v>
      </c>
      <c r="Q44" s="4">
        <f>H44/G44</f>
        <v>0.11053759252045189</v>
      </c>
      <c r="R44" s="3">
        <f>K44+L44+M44</f>
        <v>338</v>
      </c>
      <c r="S44" s="4">
        <f>(K44+L44+M44)/G44</f>
        <v>3.29178028827425E-2</v>
      </c>
      <c r="T44" s="4">
        <f>O44/I44</f>
        <v>3.4324942791762014E-2</v>
      </c>
    </row>
    <row r="45" spans="1:20">
      <c r="A45" s="8">
        <v>46125</v>
      </c>
      <c r="B45" s="5" t="s">
        <v>35</v>
      </c>
      <c r="C45" s="5" t="s">
        <v>36</v>
      </c>
      <c r="D45" s="5" t="s">
        <v>37</v>
      </c>
      <c r="E45" s="5" t="s">
        <v>38</v>
      </c>
      <c r="F45" s="5" t="s">
        <v>39</v>
      </c>
      <c r="G45" s="5">
        <v>17132</v>
      </c>
      <c r="H45" s="5">
        <v>1199</v>
      </c>
      <c r="I45" s="5">
        <v>333</v>
      </c>
      <c r="J45" s="5">
        <v>999</v>
      </c>
      <c r="K45" s="5">
        <v>523</v>
      </c>
      <c r="L45" s="5">
        <v>97</v>
      </c>
      <c r="M45" s="5">
        <v>39</v>
      </c>
      <c r="N45" s="5">
        <v>19</v>
      </c>
      <c r="O45" s="5">
        <v>22</v>
      </c>
      <c r="P45" s="5">
        <v>286</v>
      </c>
      <c r="Q45" s="4">
        <f>H45/G45</f>
        <v>6.9985991127714225E-2</v>
      </c>
      <c r="R45" s="3">
        <f>K45+L45+M45</f>
        <v>659</v>
      </c>
      <c r="S45" s="4">
        <f>(K45+L45+M45)/G45</f>
        <v>3.8466028484706982E-2</v>
      </c>
      <c r="T45" s="4">
        <f>O45/I45</f>
        <v>6.6066066066066062E-2</v>
      </c>
    </row>
    <row r="46" spans="1:20">
      <c r="A46" s="7">
        <v>46126</v>
      </c>
      <c r="B46" s="3" t="s">
        <v>40</v>
      </c>
      <c r="C46" s="3" t="s">
        <v>41</v>
      </c>
      <c r="D46" s="3" t="s">
        <v>42</v>
      </c>
      <c r="E46" s="3" t="s">
        <v>28</v>
      </c>
      <c r="F46" s="3" t="s">
        <v>29</v>
      </c>
      <c r="G46" s="3">
        <v>15275</v>
      </c>
      <c r="H46" s="3">
        <v>734</v>
      </c>
      <c r="I46" s="3">
        <v>666</v>
      </c>
      <c r="J46" s="3">
        <v>2664</v>
      </c>
      <c r="K46" s="3">
        <v>256</v>
      </c>
      <c r="L46" s="3">
        <v>104</v>
      </c>
      <c r="M46" s="3">
        <v>90</v>
      </c>
      <c r="N46" s="3">
        <v>27</v>
      </c>
      <c r="O46" s="3">
        <v>37</v>
      </c>
      <c r="P46" s="3">
        <v>144</v>
      </c>
      <c r="Q46" s="4">
        <f>H46/G46</f>
        <v>4.8052373158756136E-2</v>
      </c>
      <c r="R46" s="3">
        <f>K46+L46+M46</f>
        <v>450</v>
      </c>
      <c r="S46" s="4">
        <f>(K46+L46+M46)/G46</f>
        <v>2.9459901800327332E-2</v>
      </c>
      <c r="T46" s="4">
        <f>O46/I46</f>
        <v>5.5555555555555552E-2</v>
      </c>
    </row>
    <row r="47" spans="1:20">
      <c r="A47" s="8">
        <v>46127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>
        <v>15876</v>
      </c>
      <c r="H47" s="5">
        <v>1146</v>
      </c>
      <c r="I47" s="5">
        <v>836</v>
      </c>
      <c r="J47" s="5">
        <v>2508</v>
      </c>
      <c r="K47" s="5">
        <v>198</v>
      </c>
      <c r="L47" s="5">
        <v>74</v>
      </c>
      <c r="M47" s="5">
        <v>60</v>
      </c>
      <c r="N47" s="5">
        <v>21</v>
      </c>
      <c r="O47" s="5">
        <v>3</v>
      </c>
      <c r="P47" s="5">
        <v>231</v>
      </c>
      <c r="Q47" s="4">
        <f>H47/G47</f>
        <v>7.218442932728647E-2</v>
      </c>
      <c r="R47" s="3">
        <f>K47+L47+M47</f>
        <v>332</v>
      </c>
      <c r="S47" s="4">
        <f>(K47+L47+M47)/G47</f>
        <v>2.091206853111615E-2</v>
      </c>
      <c r="T47" s="4">
        <f>O47/I47</f>
        <v>3.5885167464114833E-3</v>
      </c>
    </row>
    <row r="48" spans="1:20">
      <c r="A48" s="7">
        <v>46128</v>
      </c>
      <c r="B48" s="3" t="s">
        <v>25</v>
      </c>
      <c r="C48" s="3" t="s">
        <v>26</v>
      </c>
      <c r="D48" s="3" t="s">
        <v>27</v>
      </c>
      <c r="E48" s="3" t="s">
        <v>28</v>
      </c>
      <c r="F48" s="3" t="s">
        <v>29</v>
      </c>
      <c r="G48" s="3">
        <v>15845</v>
      </c>
      <c r="H48" s="3">
        <v>1246</v>
      </c>
      <c r="I48" s="3">
        <v>591</v>
      </c>
      <c r="J48" s="3">
        <v>2955</v>
      </c>
      <c r="K48" s="3">
        <v>536</v>
      </c>
      <c r="L48" s="3">
        <v>164</v>
      </c>
      <c r="M48" s="3">
        <v>30</v>
      </c>
      <c r="N48" s="3">
        <v>39</v>
      </c>
      <c r="O48" s="3">
        <v>40</v>
      </c>
      <c r="P48" s="3">
        <v>260</v>
      </c>
      <c r="Q48" s="4">
        <f>H48/G48</f>
        <v>7.8636793941306404E-2</v>
      </c>
      <c r="R48" s="3">
        <f>K48+L48+M48</f>
        <v>730</v>
      </c>
      <c r="S48" s="4">
        <f>(K48+L48+M48)/G48</f>
        <v>4.6071315872514992E-2</v>
      </c>
      <c r="T48" s="4">
        <f>O48/I48</f>
        <v>6.7681895093062605E-2</v>
      </c>
    </row>
    <row r="49" spans="1:20">
      <c r="A49" s="8">
        <v>46129</v>
      </c>
      <c r="B49" s="5" t="s">
        <v>30</v>
      </c>
      <c r="C49" s="5" t="s">
        <v>31</v>
      </c>
      <c r="D49" s="5" t="s">
        <v>32</v>
      </c>
      <c r="E49" s="5" t="s">
        <v>33</v>
      </c>
      <c r="F49" s="5" t="s">
        <v>34</v>
      </c>
      <c r="G49" s="5">
        <v>18745</v>
      </c>
      <c r="H49" s="5">
        <v>311</v>
      </c>
      <c r="I49" s="5">
        <v>450</v>
      </c>
      <c r="J49" s="5">
        <v>900</v>
      </c>
      <c r="K49" s="5">
        <v>498</v>
      </c>
      <c r="L49" s="5">
        <v>109</v>
      </c>
      <c r="M49" s="5">
        <v>21</v>
      </c>
      <c r="N49" s="5">
        <v>17</v>
      </c>
      <c r="O49" s="5">
        <v>38</v>
      </c>
      <c r="P49" s="5">
        <v>180</v>
      </c>
      <c r="Q49" s="4">
        <f>H49/G49</f>
        <v>1.6591090957588692E-2</v>
      </c>
      <c r="R49" s="3">
        <f>K49+L49+M49</f>
        <v>628</v>
      </c>
      <c r="S49" s="4">
        <f>(K49+L49+M49)/G49</f>
        <v>3.350226727127234E-2</v>
      </c>
      <c r="T49" s="4">
        <f>O49/I49</f>
        <v>8.4444444444444447E-2</v>
      </c>
    </row>
    <row r="50" spans="1:20">
      <c r="A50" s="7">
        <v>46130</v>
      </c>
      <c r="B50" s="3" t="s">
        <v>35</v>
      </c>
      <c r="C50" s="3" t="s">
        <v>36</v>
      </c>
      <c r="D50" s="3" t="s">
        <v>37</v>
      </c>
      <c r="E50" s="3" t="s">
        <v>38</v>
      </c>
      <c r="F50" s="3" t="s">
        <v>39</v>
      </c>
      <c r="G50" s="3">
        <v>11026</v>
      </c>
      <c r="H50" s="3">
        <v>1494</v>
      </c>
      <c r="I50" s="3">
        <v>161</v>
      </c>
      <c r="J50" s="3">
        <v>644</v>
      </c>
      <c r="K50" s="3">
        <v>150</v>
      </c>
      <c r="L50" s="3">
        <v>85</v>
      </c>
      <c r="M50" s="3">
        <v>19</v>
      </c>
      <c r="N50" s="3">
        <v>11</v>
      </c>
      <c r="O50" s="3">
        <v>32</v>
      </c>
      <c r="P50" s="3">
        <v>193</v>
      </c>
      <c r="Q50" s="4">
        <f>H50/G50</f>
        <v>0.13549791402140396</v>
      </c>
      <c r="R50" s="3">
        <f>K50+L50+M50</f>
        <v>254</v>
      </c>
      <c r="S50" s="4">
        <f>(K50+L50+M50)/G50</f>
        <v>2.3036459278070017E-2</v>
      </c>
      <c r="T50" s="4">
        <f>O50/I50</f>
        <v>0.19875776397515527</v>
      </c>
    </row>
    <row r="51" spans="1:20">
      <c r="A51" s="8">
        <v>46131</v>
      </c>
      <c r="B51" s="5" t="s">
        <v>40</v>
      </c>
      <c r="C51" s="5" t="s">
        <v>41</v>
      </c>
      <c r="D51" s="5" t="s">
        <v>42</v>
      </c>
      <c r="E51" s="5" t="s">
        <v>28</v>
      </c>
      <c r="F51" s="5" t="s">
        <v>29</v>
      </c>
      <c r="G51" s="5">
        <v>17011</v>
      </c>
      <c r="H51" s="5">
        <v>1399</v>
      </c>
      <c r="I51" s="5">
        <v>240</v>
      </c>
      <c r="J51" s="5">
        <v>480</v>
      </c>
      <c r="K51" s="5">
        <v>347</v>
      </c>
      <c r="L51" s="5">
        <v>98</v>
      </c>
      <c r="M51" s="5">
        <v>8</v>
      </c>
      <c r="N51" s="5">
        <v>43</v>
      </c>
      <c r="O51" s="5">
        <v>5</v>
      </c>
      <c r="P51" s="5">
        <v>301</v>
      </c>
      <c r="Q51" s="4">
        <f>H51/G51</f>
        <v>8.2240902945153141E-2</v>
      </c>
      <c r="R51" s="3">
        <f>K51+L51+M51</f>
        <v>453</v>
      </c>
      <c r="S51" s="4">
        <f>(K51+L51+M51)/G51</f>
        <v>2.6629827758509202E-2</v>
      </c>
      <c r="T51" s="4">
        <f>O51/I51</f>
        <v>2.0833333333333332E-2</v>
      </c>
    </row>
    <row r="52" spans="1:20">
      <c r="A52" s="7">
        <v>46132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>
        <v>6806</v>
      </c>
      <c r="H52" s="3">
        <v>576</v>
      </c>
      <c r="I52" s="3">
        <v>798</v>
      </c>
      <c r="J52" s="3">
        <v>3990</v>
      </c>
      <c r="K52" s="3">
        <v>400</v>
      </c>
      <c r="L52" s="3">
        <v>192</v>
      </c>
      <c r="M52" s="3">
        <v>75</v>
      </c>
      <c r="N52" s="3">
        <v>33</v>
      </c>
      <c r="O52" s="3">
        <v>3</v>
      </c>
      <c r="P52" s="3">
        <v>382</v>
      </c>
      <c r="Q52" s="4">
        <f>H52/G52</f>
        <v>8.4631207757860705E-2</v>
      </c>
      <c r="R52" s="3">
        <f>K52+L52+M52</f>
        <v>667</v>
      </c>
      <c r="S52" s="4">
        <f>(K52+L52+M52)/G52</f>
        <v>9.8001763150161625E-2</v>
      </c>
      <c r="T52" s="4">
        <f>O52/I52</f>
        <v>3.7593984962406013E-3</v>
      </c>
    </row>
    <row r="53" spans="1:20">
      <c r="A53" s="8">
        <v>46133</v>
      </c>
      <c r="B53" s="5" t="s">
        <v>25</v>
      </c>
      <c r="C53" s="5" t="s">
        <v>26</v>
      </c>
      <c r="D53" s="5" t="s">
        <v>27</v>
      </c>
      <c r="E53" s="5" t="s">
        <v>28</v>
      </c>
      <c r="F53" s="5" t="s">
        <v>29</v>
      </c>
      <c r="G53" s="5">
        <v>11613</v>
      </c>
      <c r="H53" s="5">
        <v>1246</v>
      </c>
      <c r="I53" s="5">
        <v>873</v>
      </c>
      <c r="J53" s="5">
        <v>3492</v>
      </c>
      <c r="K53" s="5">
        <v>561</v>
      </c>
      <c r="L53" s="5">
        <v>22</v>
      </c>
      <c r="M53" s="5">
        <v>12</v>
      </c>
      <c r="N53" s="5">
        <v>39</v>
      </c>
      <c r="O53" s="5">
        <v>30</v>
      </c>
      <c r="P53" s="5">
        <v>199</v>
      </c>
      <c r="Q53" s="4">
        <f>H53/G53</f>
        <v>0.10729355033152502</v>
      </c>
      <c r="R53" s="3">
        <f>K53+L53+M53</f>
        <v>595</v>
      </c>
      <c r="S53" s="4">
        <f>(K53+L53+M53)/G53</f>
        <v>5.1235684147076549E-2</v>
      </c>
      <c r="T53" s="4">
        <f>O53/I53</f>
        <v>3.4364261168384883E-2</v>
      </c>
    </row>
    <row r="54" spans="1:20">
      <c r="A54" s="7">
        <v>46134</v>
      </c>
      <c r="B54" s="3" t="s">
        <v>30</v>
      </c>
      <c r="C54" s="3" t="s">
        <v>31</v>
      </c>
      <c r="D54" s="3" t="s">
        <v>32</v>
      </c>
      <c r="E54" s="3" t="s">
        <v>33</v>
      </c>
      <c r="F54" s="3" t="s">
        <v>34</v>
      </c>
      <c r="G54" s="3">
        <v>11769</v>
      </c>
      <c r="H54" s="3">
        <v>538</v>
      </c>
      <c r="I54" s="3">
        <v>923</v>
      </c>
      <c r="J54" s="3">
        <v>2769</v>
      </c>
      <c r="K54" s="3">
        <v>170</v>
      </c>
      <c r="L54" s="3">
        <v>146</v>
      </c>
      <c r="M54" s="3">
        <v>69</v>
      </c>
      <c r="N54" s="3">
        <v>15</v>
      </c>
      <c r="O54" s="3">
        <v>2</v>
      </c>
      <c r="P54" s="3">
        <v>376</v>
      </c>
      <c r="Q54" s="4">
        <f>H54/G54</f>
        <v>4.5713314640156343E-2</v>
      </c>
      <c r="R54" s="3">
        <f>K54+L54+M54</f>
        <v>385</v>
      </c>
      <c r="S54" s="4">
        <f>(K54+L54+M54)/G54</f>
        <v>3.271305973319738E-2</v>
      </c>
      <c r="T54" s="4">
        <f>O54/I54</f>
        <v>2.1668472372697724E-3</v>
      </c>
    </row>
    <row r="55" spans="1:20">
      <c r="A55" s="8">
        <v>46135</v>
      </c>
      <c r="B55" s="5" t="s">
        <v>35</v>
      </c>
      <c r="C55" s="5" t="s">
        <v>36</v>
      </c>
      <c r="D55" s="5" t="s">
        <v>37</v>
      </c>
      <c r="E55" s="5" t="s">
        <v>38</v>
      </c>
      <c r="F55" s="5" t="s">
        <v>39</v>
      </c>
      <c r="G55" s="5">
        <v>8556</v>
      </c>
      <c r="H55" s="5">
        <v>1314</v>
      </c>
      <c r="I55" s="5">
        <v>554</v>
      </c>
      <c r="J55" s="5">
        <v>1108</v>
      </c>
      <c r="K55" s="5">
        <v>263</v>
      </c>
      <c r="L55" s="5">
        <v>157</v>
      </c>
      <c r="M55" s="5">
        <v>69</v>
      </c>
      <c r="N55" s="5">
        <v>38</v>
      </c>
      <c r="O55" s="5">
        <v>21</v>
      </c>
      <c r="P55" s="5">
        <v>304</v>
      </c>
      <c r="Q55" s="4">
        <f>H55/G55</f>
        <v>0.15357643758765779</v>
      </c>
      <c r="R55" s="3">
        <f>K55+L55+M55</f>
        <v>489</v>
      </c>
      <c r="S55" s="4">
        <f>(K55+L55+M55)/G55</f>
        <v>5.7152875175315566E-2</v>
      </c>
      <c r="T55" s="4">
        <f>O55/I55</f>
        <v>3.7906137184115521E-2</v>
      </c>
    </row>
    <row r="56" spans="1:20">
      <c r="A56" s="7">
        <v>46136</v>
      </c>
      <c r="B56" s="3" t="s">
        <v>40</v>
      </c>
      <c r="C56" s="3" t="s">
        <v>41</v>
      </c>
      <c r="D56" s="3" t="s">
        <v>42</v>
      </c>
      <c r="E56" s="3" t="s">
        <v>28</v>
      </c>
      <c r="F56" s="3" t="s">
        <v>29</v>
      </c>
      <c r="G56" s="3">
        <v>14083</v>
      </c>
      <c r="H56" s="3">
        <v>450</v>
      </c>
      <c r="I56" s="3">
        <v>483</v>
      </c>
      <c r="J56" s="3">
        <v>1449</v>
      </c>
      <c r="K56" s="3">
        <v>504</v>
      </c>
      <c r="L56" s="3">
        <v>189</v>
      </c>
      <c r="M56" s="3">
        <v>47</v>
      </c>
      <c r="N56" s="3">
        <v>13</v>
      </c>
      <c r="O56" s="3">
        <v>40</v>
      </c>
      <c r="P56" s="3">
        <v>360</v>
      </c>
      <c r="Q56" s="4">
        <f>H56/G56</f>
        <v>3.1953419015834691E-2</v>
      </c>
      <c r="R56" s="3">
        <f>K56+L56+M56</f>
        <v>740</v>
      </c>
      <c r="S56" s="4">
        <f>(K56+L56+M56)/G56</f>
        <v>5.2545622381594832E-2</v>
      </c>
      <c r="T56" s="4">
        <f>O56/I56</f>
        <v>8.2815734989648032E-2</v>
      </c>
    </row>
    <row r="57" spans="1:20">
      <c r="A57" s="8">
        <v>46137</v>
      </c>
      <c r="B57" s="5" t="s">
        <v>20</v>
      </c>
      <c r="C57" s="5" t="s">
        <v>21</v>
      </c>
      <c r="D57" s="5" t="s">
        <v>22</v>
      </c>
      <c r="E57" s="5" t="s">
        <v>23</v>
      </c>
      <c r="F57" s="5" t="s">
        <v>24</v>
      </c>
      <c r="G57" s="5">
        <v>19342</v>
      </c>
      <c r="H57" s="5">
        <v>593</v>
      </c>
      <c r="I57" s="5">
        <v>153</v>
      </c>
      <c r="J57" s="5">
        <v>765</v>
      </c>
      <c r="K57" s="5">
        <v>97</v>
      </c>
      <c r="L57" s="5">
        <v>93</v>
      </c>
      <c r="M57" s="5">
        <v>41</v>
      </c>
      <c r="N57" s="5">
        <v>35</v>
      </c>
      <c r="O57" s="5">
        <v>8</v>
      </c>
      <c r="P57" s="5">
        <v>272</v>
      </c>
      <c r="Q57" s="4">
        <f>H57/G57</f>
        <v>3.0658670251266673E-2</v>
      </c>
      <c r="R57" s="3">
        <f>K57+L57+M57</f>
        <v>231</v>
      </c>
      <c r="S57" s="4">
        <f>(K57+L57+M57)/G57</f>
        <v>1.1942922138351773E-2</v>
      </c>
      <c r="T57" s="4">
        <f>O57/I57</f>
        <v>5.2287581699346407E-2</v>
      </c>
    </row>
    <row r="58" spans="1:20">
      <c r="A58" s="7">
        <v>46138</v>
      </c>
      <c r="B58" s="3" t="s">
        <v>25</v>
      </c>
      <c r="C58" s="3" t="s">
        <v>26</v>
      </c>
      <c r="D58" s="3" t="s">
        <v>27</v>
      </c>
      <c r="E58" s="3" t="s">
        <v>28</v>
      </c>
      <c r="F58" s="3" t="s">
        <v>29</v>
      </c>
      <c r="G58" s="3">
        <v>10870</v>
      </c>
      <c r="H58" s="3">
        <v>348</v>
      </c>
      <c r="I58" s="3">
        <v>311</v>
      </c>
      <c r="J58" s="3">
        <v>933</v>
      </c>
      <c r="K58" s="3">
        <v>538</v>
      </c>
      <c r="L58" s="3">
        <v>46</v>
      </c>
      <c r="M58" s="3">
        <v>29</v>
      </c>
      <c r="N58" s="3">
        <v>27</v>
      </c>
      <c r="O58" s="3">
        <v>29</v>
      </c>
      <c r="P58" s="3">
        <v>316</v>
      </c>
      <c r="Q58" s="4">
        <f>H58/G58</f>
        <v>3.2014719411223552E-2</v>
      </c>
      <c r="R58" s="3">
        <f>K58+L58+M58</f>
        <v>613</v>
      </c>
      <c r="S58" s="4">
        <f>(K58+L58+M58)/G58</f>
        <v>5.6393744250229992E-2</v>
      </c>
      <c r="T58" s="4">
        <f>O58/I58</f>
        <v>9.3247588424437297E-2</v>
      </c>
    </row>
    <row r="59" spans="1:20">
      <c r="A59" s="8">
        <v>46139</v>
      </c>
      <c r="B59" s="5" t="s">
        <v>30</v>
      </c>
      <c r="C59" s="5" t="s">
        <v>31</v>
      </c>
      <c r="D59" s="5" t="s">
        <v>32</v>
      </c>
      <c r="E59" s="5" t="s">
        <v>33</v>
      </c>
      <c r="F59" s="5" t="s">
        <v>34</v>
      </c>
      <c r="G59" s="5">
        <v>9117</v>
      </c>
      <c r="H59" s="5">
        <v>1418</v>
      </c>
      <c r="I59" s="5">
        <v>437</v>
      </c>
      <c r="J59" s="5">
        <v>1748</v>
      </c>
      <c r="K59" s="5">
        <v>553</v>
      </c>
      <c r="L59" s="5">
        <v>115</v>
      </c>
      <c r="M59" s="5">
        <v>62</v>
      </c>
      <c r="N59" s="5">
        <v>31</v>
      </c>
      <c r="O59" s="5">
        <v>24</v>
      </c>
      <c r="P59" s="5">
        <v>400</v>
      </c>
      <c r="Q59" s="4">
        <f>H59/G59</f>
        <v>0.15553361851486233</v>
      </c>
      <c r="R59" s="3">
        <f>K59+L59+M59</f>
        <v>730</v>
      </c>
      <c r="S59" s="4">
        <f>(K59+L59+M59)/G59</f>
        <v>8.0070198530218267E-2</v>
      </c>
      <c r="T59" s="4">
        <f>O59/I59</f>
        <v>5.4919908466819219E-2</v>
      </c>
    </row>
    <row r="60" spans="1:20">
      <c r="A60" s="7">
        <v>46140</v>
      </c>
      <c r="B60" s="3" t="s">
        <v>35</v>
      </c>
      <c r="C60" s="3" t="s">
        <v>36</v>
      </c>
      <c r="D60" s="3" t="s">
        <v>37</v>
      </c>
      <c r="E60" s="3" t="s">
        <v>38</v>
      </c>
      <c r="F60" s="3" t="s">
        <v>39</v>
      </c>
      <c r="G60" s="3">
        <v>5128</v>
      </c>
      <c r="H60" s="3">
        <v>301</v>
      </c>
      <c r="I60" s="3">
        <v>119</v>
      </c>
      <c r="J60" s="3">
        <v>476</v>
      </c>
      <c r="K60" s="3">
        <v>122</v>
      </c>
      <c r="L60" s="3">
        <v>19</v>
      </c>
      <c r="M60" s="3">
        <v>56</v>
      </c>
      <c r="N60" s="3">
        <v>24</v>
      </c>
      <c r="O60" s="3">
        <v>7</v>
      </c>
      <c r="P60" s="3">
        <v>112</v>
      </c>
      <c r="Q60" s="4">
        <f>H60/G60</f>
        <v>5.8697347893915758E-2</v>
      </c>
      <c r="R60" s="3">
        <f>K60+L60+M60</f>
        <v>197</v>
      </c>
      <c r="S60" s="4">
        <f>(K60+L60+M60)/G60</f>
        <v>3.8416536661466459E-2</v>
      </c>
      <c r="T60" s="4">
        <f>O60/I60</f>
        <v>5.8823529411764705E-2</v>
      </c>
    </row>
    <row r="61" spans="1:20">
      <c r="A61" s="9">
        <v>46141</v>
      </c>
      <c r="B61" s="6" t="s">
        <v>40</v>
      </c>
      <c r="C61" s="6" t="s">
        <v>41</v>
      </c>
      <c r="D61" s="6" t="s">
        <v>42</v>
      </c>
      <c r="E61" s="6" t="s">
        <v>28</v>
      </c>
      <c r="F61" s="6" t="s">
        <v>29</v>
      </c>
      <c r="G61" s="6">
        <v>7838</v>
      </c>
      <c r="H61" s="6">
        <v>375</v>
      </c>
      <c r="I61" s="6">
        <v>967</v>
      </c>
      <c r="J61" s="6">
        <v>4835</v>
      </c>
      <c r="K61" s="6">
        <v>566</v>
      </c>
      <c r="L61" s="6">
        <v>200</v>
      </c>
      <c r="M61" s="6">
        <v>87</v>
      </c>
      <c r="N61" s="6">
        <v>35</v>
      </c>
      <c r="O61" s="6">
        <v>20</v>
      </c>
      <c r="P61" s="6">
        <v>290</v>
      </c>
      <c r="Q61" s="4">
        <f>H61/G61</f>
        <v>4.7843837713702472E-2</v>
      </c>
      <c r="R61" s="3">
        <f>K61+L61+M61</f>
        <v>853</v>
      </c>
      <c r="S61" s="4">
        <f>(K61+L61+M61)/G61</f>
        <v>0.10882878285276856</v>
      </c>
      <c r="T61" s="4">
        <f>O61/I61</f>
        <v>2.0682523267838676E-2</v>
      </c>
    </row>
  </sheetData>
  <dataValidations count="2">
    <dataValidation type="list" allowBlank="1" showInputMessage="1" showErrorMessage="1" sqref="F1 F6 F11 F16 F21 F26 F31 F36 F41 F46 F51 F56 F61:F1048576" xr:uid="{D3D492D8-F4EC-48B5-924C-B67A2DF60094}">
      <formula1>"$F$1,$F$2,$F$3,$F$4,$F$5"</formula1>
    </dataValidation>
    <dataValidation allowBlank="1" showInputMessage="1" showErrorMessage="1" sqref="F2:F5 F7:F10 F12:F15 F17:F20 F22:F25 F27:F30 F32:F35 F37:F40 F42:F45 F47:F50 F52:F55 F57:F60" xr:uid="{97312311-F6DE-4F8F-9307-ACE79D65A845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45BA-C6FA-45BA-BA7C-DB7C8D1B966B}">
  <dimension ref="A2:B8"/>
  <sheetViews>
    <sheetView workbookViewId="0">
      <selection activeCell="E14" sqref="E14"/>
    </sheetView>
  </sheetViews>
  <sheetFormatPr defaultRowHeight="15"/>
  <cols>
    <col min="1" max="1" width="13.85546875" bestFit="1" customWidth="1"/>
    <col min="2" max="2" width="13.28515625" bestFit="1" customWidth="1"/>
  </cols>
  <sheetData>
    <row r="2" spans="1:2">
      <c r="A2" s="2" t="s">
        <v>1</v>
      </c>
      <c r="B2" t="s">
        <v>43</v>
      </c>
    </row>
    <row r="3" spans="1:2">
      <c r="A3" t="s">
        <v>30</v>
      </c>
      <c r="B3">
        <v>7346</v>
      </c>
    </row>
    <row r="4" spans="1:2">
      <c r="A4" t="s">
        <v>25</v>
      </c>
      <c r="B4">
        <v>5846</v>
      </c>
    </row>
    <row r="5" spans="1:2">
      <c r="A5" t="s">
        <v>20</v>
      </c>
      <c r="B5">
        <v>6835</v>
      </c>
    </row>
    <row r="6" spans="1:2">
      <c r="A6" t="s">
        <v>40</v>
      </c>
      <c r="B6">
        <v>6185</v>
      </c>
    </row>
    <row r="7" spans="1:2">
      <c r="A7" t="s">
        <v>35</v>
      </c>
      <c r="B7">
        <v>5457</v>
      </c>
    </row>
    <row r="8" spans="1:2">
      <c r="A8" t="s">
        <v>44</v>
      </c>
      <c r="B8">
        <v>31669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28C3-0F16-4777-82F2-19828C6F4036}">
  <dimension ref="A2:D8"/>
  <sheetViews>
    <sheetView workbookViewId="0">
      <selection activeCell="C3" sqref="C3"/>
    </sheetView>
  </sheetViews>
  <sheetFormatPr defaultRowHeight="15"/>
  <cols>
    <col min="1" max="1" width="12.140625" bestFit="1" customWidth="1"/>
    <col min="2" max="2" width="6.5703125" bestFit="1" customWidth="1"/>
    <col min="3" max="3" width="7.5703125" bestFit="1" customWidth="1"/>
    <col min="4" max="4" width="11.28515625" bestFit="1" customWidth="1"/>
  </cols>
  <sheetData>
    <row r="2" spans="1:4">
      <c r="A2" s="2" t="s">
        <v>2</v>
      </c>
      <c r="B2" t="s">
        <v>45</v>
      </c>
      <c r="C2" t="s">
        <v>46</v>
      </c>
      <c r="D2" t="s">
        <v>47</v>
      </c>
    </row>
    <row r="3" spans="1:4">
      <c r="A3" t="s">
        <v>41</v>
      </c>
      <c r="B3" s="27">
        <v>3911</v>
      </c>
      <c r="C3" s="27">
        <v>1436</v>
      </c>
      <c r="D3" s="27">
        <v>789</v>
      </c>
    </row>
    <row r="4" spans="1:4">
      <c r="A4" t="s">
        <v>21</v>
      </c>
      <c r="B4" s="27">
        <v>3345</v>
      </c>
      <c r="C4" s="27">
        <v>1222</v>
      </c>
      <c r="D4" s="27">
        <v>459</v>
      </c>
    </row>
    <row r="5" spans="1:4">
      <c r="A5" t="s">
        <v>26</v>
      </c>
      <c r="B5" s="27">
        <v>5292</v>
      </c>
      <c r="C5" s="27">
        <v>1371</v>
      </c>
      <c r="D5" s="27">
        <v>395</v>
      </c>
    </row>
    <row r="6" spans="1:4">
      <c r="A6" t="s">
        <v>36</v>
      </c>
      <c r="B6" s="27">
        <v>3957</v>
      </c>
      <c r="C6" s="27">
        <v>1053</v>
      </c>
      <c r="D6" s="27">
        <v>591</v>
      </c>
    </row>
    <row r="7" spans="1:4">
      <c r="A7" t="s">
        <v>31</v>
      </c>
      <c r="B7" s="27">
        <v>3643</v>
      </c>
      <c r="C7" s="27">
        <v>1379</v>
      </c>
      <c r="D7" s="27">
        <v>637</v>
      </c>
    </row>
    <row r="8" spans="1:4">
      <c r="A8" t="s">
        <v>44</v>
      </c>
      <c r="B8" s="27">
        <v>20148</v>
      </c>
      <c r="C8" s="27">
        <v>6461</v>
      </c>
      <c r="D8" s="27">
        <v>2871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5E72-09DD-475C-9C88-EB7DE13F2D62}">
  <dimension ref="A2:B8"/>
  <sheetViews>
    <sheetView workbookViewId="0">
      <selection activeCell="A17" sqref="A17"/>
    </sheetView>
  </sheetViews>
  <sheetFormatPr defaultRowHeight="15"/>
  <cols>
    <col min="1" max="1" width="17.140625" bestFit="1" customWidth="1"/>
    <col min="2" max="2" width="20" bestFit="1" customWidth="1"/>
  </cols>
  <sheetData>
    <row r="2" spans="1:2">
      <c r="A2" s="2" t="s">
        <v>3</v>
      </c>
      <c r="B2" t="s">
        <v>48</v>
      </c>
    </row>
    <row r="3" spans="1:2">
      <c r="A3" t="s">
        <v>37</v>
      </c>
      <c r="B3">
        <v>206</v>
      </c>
    </row>
    <row r="4" spans="1:2">
      <c r="A4" t="s">
        <v>32</v>
      </c>
      <c r="B4">
        <v>258</v>
      </c>
    </row>
    <row r="5" spans="1:2">
      <c r="A5" t="s">
        <v>27</v>
      </c>
      <c r="B5">
        <v>330</v>
      </c>
    </row>
    <row r="6" spans="1:2">
      <c r="A6" t="s">
        <v>42</v>
      </c>
      <c r="B6">
        <v>285</v>
      </c>
    </row>
    <row r="7" spans="1:2">
      <c r="A7" t="s">
        <v>22</v>
      </c>
      <c r="B7">
        <v>224</v>
      </c>
    </row>
    <row r="8" spans="1:2">
      <c r="A8" t="s">
        <v>44</v>
      </c>
      <c r="B8">
        <v>1303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6A0-DBAB-43CB-AF17-D3DF364F0BE3}">
  <dimension ref="A2:B7"/>
  <sheetViews>
    <sheetView workbookViewId="0">
      <selection activeCell="A2" sqref="A2"/>
    </sheetView>
  </sheetViews>
  <sheetFormatPr defaultRowHeight="15"/>
  <cols>
    <col min="1" max="1" width="24" bestFit="1" customWidth="1"/>
    <col min="2" max="2" width="28" style="1" bestFit="1" customWidth="1"/>
  </cols>
  <sheetData>
    <row r="2" spans="1:2">
      <c r="A2" s="2" t="s">
        <v>4</v>
      </c>
      <c r="B2" s="1" t="s">
        <v>49</v>
      </c>
    </row>
    <row r="3" spans="1:2">
      <c r="A3" t="s">
        <v>23</v>
      </c>
      <c r="B3" s="1">
        <v>4.0295597467654605E-2</v>
      </c>
    </row>
    <row r="4" spans="1:2">
      <c r="A4" t="s">
        <v>28</v>
      </c>
      <c r="B4" s="1">
        <v>5.3577302208487193E-2</v>
      </c>
    </row>
    <row r="5" spans="1:2">
      <c r="A5" t="s">
        <v>33</v>
      </c>
      <c r="B5" s="1">
        <v>4.1296987247265847E-2</v>
      </c>
    </row>
    <row r="6" spans="1:2">
      <c r="A6" t="s">
        <v>38</v>
      </c>
      <c r="B6" s="1">
        <v>3.7839144236221652E-2</v>
      </c>
    </row>
    <row r="7" spans="1:2">
      <c r="A7" t="s">
        <v>44</v>
      </c>
      <c r="B7" s="1">
        <v>4.5317266673623284E-2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E945-659D-4D55-B3D6-39F5E907C03A}">
  <dimension ref="A2:B7"/>
  <sheetViews>
    <sheetView workbookViewId="0">
      <selection activeCell="E7" sqref="E7"/>
    </sheetView>
  </sheetViews>
  <sheetFormatPr defaultRowHeight="15"/>
  <cols>
    <col min="1" max="1" width="11.7109375" bestFit="1" customWidth="1"/>
    <col min="2" max="2" width="13.28515625" bestFit="1" customWidth="1"/>
  </cols>
  <sheetData>
    <row r="2" spans="1:2">
      <c r="A2" s="2" t="s">
        <v>5</v>
      </c>
      <c r="B2" t="s">
        <v>43</v>
      </c>
    </row>
    <row r="3" spans="1:2">
      <c r="A3" t="s">
        <v>34</v>
      </c>
      <c r="B3">
        <v>7346</v>
      </c>
    </row>
    <row r="4" spans="1:2">
      <c r="A4" t="s">
        <v>24</v>
      </c>
      <c r="B4">
        <v>6835</v>
      </c>
    </row>
    <row r="5" spans="1:2">
      <c r="A5" t="s">
        <v>29</v>
      </c>
      <c r="B5">
        <v>12031</v>
      </c>
    </row>
    <row r="6" spans="1:2">
      <c r="A6" t="s">
        <v>39</v>
      </c>
      <c r="B6">
        <v>5457</v>
      </c>
    </row>
    <row r="7" spans="1:2">
      <c r="A7" t="s">
        <v>44</v>
      </c>
      <c r="B7">
        <v>31669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735A-7ADF-4F61-91F4-F063043E9EE9}">
  <dimension ref="D1:S33"/>
  <sheetViews>
    <sheetView tabSelected="1" workbookViewId="0">
      <selection activeCell="X26" sqref="X26"/>
    </sheetView>
  </sheetViews>
  <sheetFormatPr defaultRowHeight="15"/>
  <cols>
    <col min="2" max="2" width="10.7109375" customWidth="1"/>
    <col min="3" max="3" width="8.5703125" customWidth="1"/>
    <col min="4" max="4" width="12.42578125" customWidth="1"/>
    <col min="5" max="5" width="10.85546875" customWidth="1"/>
    <col min="6" max="6" width="11.140625" customWidth="1"/>
    <col min="9" max="9" width="9.85546875" customWidth="1"/>
    <col min="10" max="10" width="11.42578125" customWidth="1"/>
    <col min="11" max="11" width="11" customWidth="1"/>
    <col min="12" max="12" width="10.5703125" customWidth="1"/>
    <col min="13" max="14" width="10.42578125" customWidth="1"/>
    <col min="15" max="15" width="5.7109375" customWidth="1"/>
    <col min="16" max="16" width="10.7109375" customWidth="1"/>
    <col min="17" max="17" width="13.7109375" customWidth="1"/>
    <col min="18" max="18" width="15.85546875" customWidth="1"/>
  </cols>
  <sheetData>
    <row r="1" spans="4:19" ht="25.5" customHeight="1">
      <c r="I1" s="16" t="s">
        <v>50</v>
      </c>
    </row>
    <row r="2" spans="4:19" ht="16.5" customHeight="1">
      <c r="H2" s="15" t="s">
        <v>51</v>
      </c>
      <c r="N2" s="14"/>
      <c r="S2" s="14"/>
    </row>
    <row r="3" spans="4:19" ht="12" customHeight="1"/>
    <row r="5" spans="4:19" ht="18.75" customHeight="1">
      <c r="D5" s="18" t="s">
        <v>52</v>
      </c>
      <c r="G5" s="21"/>
      <c r="H5" s="19" t="s">
        <v>53</v>
      </c>
      <c r="I5" s="13"/>
      <c r="L5" s="21"/>
      <c r="M5" s="19" t="s">
        <v>54</v>
      </c>
      <c r="N5" s="13"/>
      <c r="R5" s="18" t="s">
        <v>55</v>
      </c>
    </row>
    <row r="6" spans="4:19" ht="16.5" customHeight="1">
      <c r="D6" s="26">
        <f>SUM(MarketingData[Views])</f>
        <v>31669</v>
      </c>
      <c r="G6" s="20"/>
      <c r="H6" s="22">
        <f>SUM(MarketingData[Subscriptions])</f>
        <v>1303</v>
      </c>
      <c r="I6" s="23"/>
      <c r="L6" s="20"/>
      <c r="M6" s="24">
        <f>AVERAGE(MarketingData[Engagement_Rate])</f>
        <v>4.5317266673623298E-2</v>
      </c>
      <c r="N6" s="23"/>
      <c r="R6" s="25">
        <f>SUM(MarketingData[Ad_Spend])</f>
        <v>17486</v>
      </c>
    </row>
    <row r="24" spans="16:16">
      <c r="P24" t="s">
        <v>56</v>
      </c>
    </row>
    <row r="25" spans="16:16">
      <c r="P25" t="s">
        <v>56</v>
      </c>
    </row>
    <row r="28" spans="16:16">
      <c r="P28" s="17"/>
    </row>
    <row r="29" spans="16:16">
      <c r="P29" s="17" t="s">
        <v>57</v>
      </c>
    </row>
    <row r="30" spans="16:16">
      <c r="P30" s="17" t="s">
        <v>58</v>
      </c>
    </row>
    <row r="31" spans="16:16">
      <c r="P31" s="17" t="s">
        <v>59</v>
      </c>
    </row>
    <row r="32" spans="16:16">
      <c r="P32" s="17" t="s">
        <v>60</v>
      </c>
    </row>
    <row r="33" spans="16:16">
      <c r="P33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2026-04-19T14:58:24Z</dcterms:created>
  <dcterms:modified xsi:type="dcterms:W3CDTF">2026-04-23T07:00:22Z</dcterms:modified>
  <cp:category/>
  <cp:contentStatus/>
</cp:coreProperties>
</file>